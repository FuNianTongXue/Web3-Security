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020" windowHeight="12060"/>
  </bookViews>
  <sheets>
    <sheet name="使用说明" sheetId="1" r:id="rId1"/>
    <sheet name="场景库" sheetId="2" r:id="rId2"/>
    <sheet name="评分明细" sheetId="3" r:id="rId3"/>
    <sheet name="汇总看板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<sst xmlns="http://schemas.openxmlformats.org/spreadsheetml/2006/main" count="299" uniqueCount="226">
  <si>
    <t>威胁建模安全评审评分模板（部门/团队/项目）</t>
  </si>
  <si>
    <t>填写顺序</t>
  </si>
  <si>
    <t>1</t>
  </si>
  <si>
    <t>先在【评分明细】逐条记录威胁项：部门、团队、项目、业务场景、架构场景、威胁类型与评分维度。</t>
  </si>
  <si>
    <t>2</t>
  </si>
  <si>
    <t>评分维度使用 1-5 分：分值越高代表风险越高（控制成熟度、检测能力相反，分值越高代表能力越好）。</t>
  </si>
  <si>
    <t>3</t>
  </si>
  <si>
    <t>业务场景系数、架构场景系数会自动从【场景库】匹配；找不到场景时默认系数 1。</t>
  </si>
  <si>
    <t>4</t>
  </si>
  <si>
    <t>最终风险分自动计算；可在整改后风险分列手动填写复测结果。</t>
  </si>
  <si>
    <t>5</t>
  </si>
  <si>
    <t>在【汇总看板】输入需要统计的部门/团队/项目名称，自动输出各维度评分与高风险数量。</t>
  </si>
  <si>
    <t>评分口径（1-5）</t>
  </si>
  <si>
    <t>资产等级</t>
  </si>
  <si>
    <t>1=低价值，5=核心资产（资金/核心交易/隐私敏感数据）。</t>
  </si>
  <si>
    <t>暴露面</t>
  </si>
  <si>
    <t>1=仅内网可达，5=公网高频可达且入口复杂。</t>
  </si>
  <si>
    <t>发生可能性</t>
  </si>
  <si>
    <t>1=很难触发，5=容易被脚本化利用。</t>
  </si>
  <si>
    <t>影响程度</t>
  </si>
  <si>
    <t>1=影响很小，5=造成资金损失/大规模泄露/核心业务中断。</t>
  </si>
  <si>
    <t>控制成熟度</t>
  </si>
  <si>
    <t>1=几乎无控制，5=控制完善并长期验证。</t>
  </si>
  <si>
    <t>检测能力</t>
  </si>
  <si>
    <t>1=无监测与告警，5=秒级监测、自动告警与追踪。</t>
  </si>
  <si>
    <t>合规敏感度</t>
  </si>
  <si>
    <t>0=无明确合规要求，5=强合规高处罚风险场景。</t>
  </si>
  <si>
    <t>计算逻辑</t>
  </si>
  <si>
    <t>基础风险分</t>
  </si>
  <si>
    <t>((资产*0.15 + 暴露面*0.15 + 可能性*0.25 + 影响*0.25 + 合规*0.10 + (6-控制成熟度)*0.05 + (6-检测能力)*0.05) / 5) * 100</t>
  </si>
  <si>
    <t>加权风险分</t>
  </si>
  <si>
    <t>MIN(100, 基础风险分 * 业务系数 * 架构系数)</t>
  </si>
  <si>
    <t>安全评分</t>
  </si>
  <si>
    <t>100 - 最终风险分（分值越高越安全）</t>
  </si>
  <si>
    <t>风险等级</t>
  </si>
  <si>
    <t>严重&gt;=80，高&gt;=60，中&gt;=40，低&lt;40</t>
  </si>
  <si>
    <t>提示</t>
  </si>
  <si>
    <t>模板已预置示例数据，可直接覆盖。建议每个项目至少覆盖：鉴权、交易/资金、数据、第三方依赖、运维管理、审计监控六类威胁面。</t>
  </si>
  <si>
    <t>业务场景</t>
  </si>
  <si>
    <t>业务系数</t>
  </si>
  <si>
    <t>说明</t>
  </si>
  <si>
    <t>架构场景</t>
  </si>
  <si>
    <t>架构系数</t>
  </si>
  <si>
    <t>威胁类型库</t>
  </si>
  <si>
    <t>用户注册/登录鉴权</t>
  </si>
  <si>
    <t>身份认证、会话与账号安全</t>
  </si>
  <si>
    <t>单体应用</t>
  </si>
  <si>
    <t>结构简单但边界可能模糊</t>
  </si>
  <si>
    <t>欺骗 (Spoofing)</t>
  </si>
  <si>
    <t>伪造身份、令牌、证书、来源</t>
  </si>
  <si>
    <t>支付下单结算</t>
  </si>
  <si>
    <t>资金与交易核心链路</t>
  </si>
  <si>
    <t>微服务</t>
  </si>
  <si>
    <t>服务间鉴权与调用链风险</t>
  </si>
  <si>
    <t>篡改 (Tampering)</t>
  </si>
  <si>
    <t>交易、参数、配置、数据被修改</t>
  </si>
  <si>
    <t>退款/退货</t>
  </si>
  <si>
    <t>逆向资金流与业务逻辑风控</t>
  </si>
  <si>
    <t>事件驱动/消息队列</t>
  </si>
  <si>
    <t>消息重放、丢失与一致性风险</t>
  </si>
  <si>
    <t>抵赖 (Repudiation)</t>
  </si>
  <si>
    <t>行为不可追溯、审计证据不足</t>
  </si>
  <si>
    <t>提现/转账</t>
  </si>
  <si>
    <t>高风险资金出站场景</t>
  </si>
  <si>
    <t>API网关+微服务</t>
  </si>
  <si>
    <t>网关策略与后端信任边界</t>
  </si>
  <si>
    <t>信息泄露 (Information Disclosure)</t>
  </si>
  <si>
    <t>敏感数据被未授权访问</t>
  </si>
  <si>
    <t>营销活动/优惠券</t>
  </si>
  <si>
    <t>防刷与规则绕过高发</t>
  </si>
  <si>
    <t>Service Mesh</t>
  </si>
  <si>
    <t>证书、策略与服务间流量控制</t>
  </si>
  <si>
    <t>拒绝服务 (DoS)</t>
  </si>
  <si>
    <t>资源耗尽、服务不可用</t>
  </si>
  <si>
    <t>内容发布/评论</t>
  </si>
  <si>
    <t>内容安全与权限边界</t>
  </si>
  <si>
    <t>Serverless/FaaS</t>
  </si>
  <si>
    <t>函数权限与冷启动配置风险</t>
  </si>
  <si>
    <t>权限提升 (Elevation of Privilege)</t>
  </si>
  <si>
    <t>低权限获得高权限操作</t>
  </si>
  <si>
    <t>文件上传/下载</t>
  </si>
  <si>
    <t>恶意文件与越权访问风险</t>
  </si>
  <si>
    <t>Kubernetes容器编排</t>
  </si>
  <si>
    <t>集群面、镜像与运行时风险</t>
  </si>
  <si>
    <t>供应链攻击</t>
  </si>
  <si>
    <t>依赖、镜像、SDK、第三方服务被投毒</t>
  </si>
  <si>
    <t>实名认证/KYC</t>
  </si>
  <si>
    <t>隐私与合规敏感场景</t>
  </si>
  <si>
    <t>多云/混合云</t>
  </si>
  <si>
    <t>跨云身份与网络边界复杂</t>
  </si>
  <si>
    <t>业务逻辑滥用</t>
  </si>
  <si>
    <t>规则绕过、套利、刷单、薅羊毛</t>
  </si>
  <si>
    <t>第三方开放API</t>
  </si>
  <si>
    <t>接口滥用与调用链风险</t>
  </si>
  <si>
    <t>零信任接入</t>
  </si>
  <si>
    <t>策略配置错误带来的可达性风险</t>
  </si>
  <si>
    <t>越权访问</t>
  </si>
  <si>
    <t>水平/垂直越权与对象访问控制缺陷</t>
  </si>
  <si>
    <t>B2B系统对接</t>
  </si>
  <si>
    <t>跨组织边界与信任传递</t>
  </si>
  <si>
    <t>边缘计算节点</t>
  </si>
  <si>
    <t>节点分散、物理与网络风险叠加</t>
  </si>
  <si>
    <t>配置与密钥泄露</t>
  </si>
  <si>
    <t>凭证管理不当导致系统失守</t>
  </si>
  <si>
    <t>供应链协同</t>
  </si>
  <si>
    <t>上下游权限与数据链路</t>
  </si>
  <si>
    <t>移动端+后端</t>
  </si>
  <si>
    <t>端侧逆向与接口安全风险</t>
  </si>
  <si>
    <t>运营后台管理</t>
  </si>
  <si>
    <t>高权限后台与越权风险</t>
  </si>
  <si>
    <t>小程序架构</t>
  </si>
  <si>
    <t>平台限制与鉴权复用风险</t>
  </si>
  <si>
    <t>客服工单系统</t>
  </si>
  <si>
    <t>社工与敏感信息暴露风险</t>
  </si>
  <si>
    <t>Web+APP+开放平台</t>
  </si>
  <si>
    <t>多端一致性与安全基线复杂</t>
  </si>
  <si>
    <t>数据报表/BI</t>
  </si>
  <si>
    <t>聚合数据泄露与滥用</t>
  </si>
  <si>
    <t>数据湖/数仓</t>
  </si>
  <si>
    <t>数据权限与脱敏治理风险</t>
  </si>
  <si>
    <t>搜索推荐</t>
  </si>
  <si>
    <t>数据污染与结果操控</t>
  </si>
  <si>
    <t>实时流处理</t>
  </si>
  <si>
    <t>数据漂移与实时风控链路风险</t>
  </si>
  <si>
    <t>IoT设备接入</t>
  </si>
  <si>
    <t>设备身份、固件与协议安全</t>
  </si>
  <si>
    <t>高并发缓存集群</t>
  </si>
  <si>
    <t>缓存穿透与投毒风险</t>
  </si>
  <si>
    <t>地图定位服务</t>
  </si>
  <si>
    <t>地理数据与权限隔离</t>
  </si>
  <si>
    <t>分布式事务/最终一致性</t>
  </si>
  <si>
    <t>补偿逻辑和重复执行风险</t>
  </si>
  <si>
    <t>即时通讯/消息推送</t>
  </si>
  <si>
    <t>消息篡改与伪造风险</t>
  </si>
  <si>
    <t>跨境多地域部署</t>
  </si>
  <si>
    <t>数据主权与跨域合规要求</t>
  </si>
  <si>
    <t>直播/音视频</t>
  </si>
  <si>
    <t>内容、带宽与账号攻击</t>
  </si>
  <si>
    <t>区块链智能合约</t>
  </si>
  <si>
    <t>不可变代码与链上资金风险</t>
  </si>
  <si>
    <t>广告投放</t>
  </si>
  <si>
    <t>作弊流量与结算欺诈</t>
  </si>
  <si>
    <t>第三方SaaS深度集成</t>
  </si>
  <si>
    <t>供应链依赖与访问令牌风险</t>
  </si>
  <si>
    <t>金融借贷</t>
  </si>
  <si>
    <t>额度、授信与资金风险</t>
  </si>
  <si>
    <t>保险理赔</t>
  </si>
  <si>
    <t>欺诈与合规审计风险</t>
  </si>
  <si>
    <t>医疗健康数据</t>
  </si>
  <si>
    <t>高敏隐私与强监管</t>
  </si>
  <si>
    <t>AI模型推理服务</t>
  </si>
  <si>
    <t>模型滥用与提示注入</t>
  </si>
  <si>
    <t>多租户SaaS</t>
  </si>
  <si>
    <t>租户隔离与配置泄露</t>
  </si>
  <si>
    <t>区块链资产服务</t>
  </si>
  <si>
    <t>私钥、合约与链上交易风险</t>
  </si>
  <si>
    <t>可按公司实际业务追加场景与系数；系数建议范围 0.9~1.5。</t>
  </si>
  <si>
    <t>评审ID</t>
  </si>
  <si>
    <t>评审日期</t>
  </si>
  <si>
    <t>所属部门</t>
  </si>
  <si>
    <t>所属团队</t>
  </si>
  <si>
    <t>所属项目</t>
  </si>
  <si>
    <t>威胁类型</t>
  </si>
  <si>
    <t>资产等级(1-5)</t>
  </si>
  <si>
    <t>暴露面(1-5)</t>
  </si>
  <si>
    <t>发生可能性(1-5)</t>
  </si>
  <si>
    <t>影响程度(1-5)</t>
  </si>
  <si>
    <t>控制成熟度(1-5,高=好)</t>
  </si>
  <si>
    <t>检测能力(1-5,高=好)</t>
  </si>
  <si>
    <t>合规敏感度(0-5)</t>
  </si>
  <si>
    <t>初始安全评分</t>
  </si>
  <si>
    <t>整改状态</t>
  </si>
  <si>
    <t>整改后风险分</t>
  </si>
  <si>
    <t>最终风险分</t>
  </si>
  <si>
    <t>最终安全评分</t>
  </si>
  <si>
    <t>备注</t>
  </si>
  <si>
    <t>TM-2026-001</t>
  </si>
  <si>
    <t>2026-02-23</t>
  </si>
  <si>
    <t>支付事业部</t>
  </si>
  <si>
    <t>交易平台组</t>
  </si>
  <si>
    <t>统一收银台</t>
  </si>
  <si>
    <t>未整改</t>
  </si>
  <si>
    <t>鉴权绕过可导致越权扣款</t>
  </si>
  <si>
    <t>TM-2026-002</t>
  </si>
  <si>
    <t>清结算组</t>
  </si>
  <si>
    <t>退款中心</t>
  </si>
  <si>
    <t>已整改</t>
  </si>
  <si>
    <t>补充签名流水与防重放后复测</t>
  </si>
  <si>
    <t>TM-2026-003</t>
  </si>
  <si>
    <t>增长事业部</t>
  </si>
  <si>
    <t>营销平台组</t>
  </si>
  <si>
    <t>优惠券引擎</t>
  </si>
  <si>
    <t>存在批量刷券套利路径</t>
  </si>
  <si>
    <t>TM-2026-004</t>
  </si>
  <si>
    <t>数据平台主管</t>
  </si>
  <si>
    <t>数据基础组</t>
  </si>
  <si>
    <t>用户画像平台</t>
  </si>
  <si>
    <t>PII 脱敏策略缺失</t>
  </si>
  <si>
    <t>TM-2026-005</t>
  </si>
  <si>
    <t>国际化平台主管</t>
  </si>
  <si>
    <t>开放平台组</t>
  </si>
  <si>
    <t>B2B开放API</t>
  </si>
  <si>
    <t>缺少双向签名与重放保护</t>
  </si>
  <si>
    <t>威胁建模评分汇总</t>
  </si>
  <si>
    <t>提示：在部门/团队/项目汇总区域填入名称即可自动统计（支持按部门或团队筛选项目）。</t>
  </si>
  <si>
    <t>全局指标</t>
  </si>
  <si>
    <t>指标</t>
  </si>
  <si>
    <t>值</t>
  </si>
  <si>
    <t>全局评审项数</t>
  </si>
  <si>
    <t>全局平均最终风险分</t>
  </si>
  <si>
    <t>全局平均安全评分</t>
  </si>
  <si>
    <t>全局高风险数(&gt;=60)</t>
  </si>
  <si>
    <t>全局严重风险数(&gt;=80)</t>
  </si>
  <si>
    <t>部门汇总</t>
  </si>
  <si>
    <t>团队汇总</t>
  </si>
  <si>
    <t>部门</t>
  </si>
  <si>
    <t>评审项数</t>
  </si>
  <si>
    <t>平均最终风险分</t>
  </si>
  <si>
    <t>平均安全评分</t>
  </si>
  <si>
    <t>高风险数</t>
  </si>
  <si>
    <t>严重风险数</t>
  </si>
  <si>
    <t>团队</t>
  </si>
  <si>
    <t>部门(可选)</t>
  </si>
  <si>
    <t>项目汇总</t>
  </si>
  <si>
    <t>项目</t>
  </si>
  <si>
    <t>团队(可选)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</si>
</sst>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5"/>
  <sheetViews>
    <sheetView tabSelected="1" workbookViewId="0">
      <selection activeCell="A1" sqref="A1"/>
    </sheetView>
  </sheetViews>
  <sheetFormatPr defaultColWidth="10.3846153846154" defaultRowHeight="16.8" outlineLevelCol="1"/>
  <cols>
    <col min="1" max="1" width="28" customWidth="1"/>
    <col min="2" max="2" width="100" customWidth="1"/>
  </cols>
  <sheetData>
    <row r="1" spans="1:1">
      <c r="A1" t="s">
        <v>0</v>
      </c>
    </row>
    <row r="3" spans="1:1">
      <c r="A3" t="s">
        <v>1</v>
      </c>
    </row>
    <row r="4" spans="1:2">
      <c r="A4" t="s">
        <v>2</v>
      </c>
      <c r="B4" t="s">
        <v>3</v>
      </c>
    </row>
    <row r="5" spans="1:2">
      <c r="A5" t="s">
        <v>4</v>
      </c>
      <c r="B5" t="s">
        <v>5</v>
      </c>
    </row>
    <row r="6" spans="1:2">
      <c r="A6" t="s">
        <v>6</v>
      </c>
      <c r="B6" t="s">
        <v>7</v>
      </c>
    </row>
    <row r="7" spans="1:2">
      <c r="A7" t="s">
        <v>8</v>
      </c>
      <c r="B7" t="s">
        <v>9</v>
      </c>
    </row>
    <row r="8" spans="1:2">
      <c r="A8" t="s">
        <v>10</v>
      </c>
      <c r="B8" t="s">
        <v>11</v>
      </c>
    </row>
    <row r="10" spans="1:1">
      <c r="A10" t="s">
        <v>12</v>
      </c>
    </row>
    <row r="11" spans="1:2">
      <c r="A11" t="s">
        <v>13</v>
      </c>
      <c r="B11" t="s">
        <v>14</v>
      </c>
    </row>
    <row r="12" spans="1:2">
      <c r="A12" t="s">
        <v>15</v>
      </c>
      <c r="B12" t="s">
        <v>16</v>
      </c>
    </row>
    <row r="13" spans="1:2">
      <c r="A13" t="s">
        <v>17</v>
      </c>
      <c r="B13" t="s">
        <v>18</v>
      </c>
    </row>
    <row r="14" spans="1:2">
      <c r="A14" t="s">
        <v>19</v>
      </c>
      <c r="B14" t="s">
        <v>20</v>
      </c>
    </row>
    <row r="15" spans="1:2">
      <c r="A15" t="s">
        <v>21</v>
      </c>
      <c r="B15" t="s">
        <v>22</v>
      </c>
    </row>
    <row r="16" spans="1:2">
      <c r="A16" t="s">
        <v>23</v>
      </c>
      <c r="B16" t="s">
        <v>24</v>
      </c>
    </row>
    <row r="17" spans="1:2">
      <c r="A17" t="s">
        <v>25</v>
      </c>
      <c r="B17" t="s">
        <v>26</v>
      </c>
    </row>
    <row r="19" spans="1:1">
      <c r="A19" t="s">
        <v>27</v>
      </c>
    </row>
    <row r="20" spans="1:2">
      <c r="A20" t="s">
        <v>28</v>
      </c>
      <c r="B20" t="s">
        <v>29</v>
      </c>
    </row>
    <row r="21" spans="1:2">
      <c r="A21" t="s">
        <v>30</v>
      </c>
      <c r="B21" t="s">
        <v>31</v>
      </c>
    </row>
    <row r="22" spans="1:2">
      <c r="A22" t="s">
        <v>32</v>
      </c>
      <c r="B22" t="s">
        <v>33</v>
      </c>
    </row>
    <row r="23" spans="1:2">
      <c r="A23" t="s">
        <v>34</v>
      </c>
      <c r="B23" t="s">
        <v>35</v>
      </c>
    </row>
    <row r="25" spans="1:2">
      <c r="A25" t="s">
        <v>36</v>
      </c>
      <c r="B25" t="s">
        <v>37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0"/>
  <sheetViews>
    <sheetView workbookViewId="0">
      <selection activeCell="A1" sqref="A1"/>
    </sheetView>
  </sheetViews>
  <sheetFormatPr defaultColWidth="10.3846153846154" defaultRowHeight="16.8"/>
  <cols>
    <col min="1" max="1" width="28" customWidth="1"/>
    <col min="2" max="2" width="12" customWidth="1"/>
    <col min="3" max="3" width="40" customWidth="1"/>
    <col min="4" max="4" width="30" customWidth="1"/>
    <col min="5" max="5" width="12" customWidth="1"/>
    <col min="6" max="6" width="40" customWidth="1"/>
    <col min="8" max="8" width="20" customWidth="1"/>
    <col min="9" max="9" width="40" customWidth="1"/>
  </cols>
  <sheetData>
    <row r="1" spans="1:9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40</v>
      </c>
      <c r="H1" t="s">
        <v>43</v>
      </c>
      <c r="I1" t="s">
        <v>40</v>
      </c>
    </row>
    <row r="2" spans="1:9">
      <c r="A2" t="s">
        <v>44</v>
      </c>
      <c r="B2">
        <v>1.1</v>
      </c>
      <c r="C2" t="s">
        <v>45</v>
      </c>
      <c r="D2" t="s">
        <v>46</v>
      </c>
      <c r="E2">
        <v>1</v>
      </c>
      <c r="F2" t="s">
        <v>47</v>
      </c>
      <c r="H2" t="s">
        <v>48</v>
      </c>
      <c r="I2" t="s">
        <v>49</v>
      </c>
    </row>
    <row r="3" spans="1:9">
      <c r="A3" t="s">
        <v>50</v>
      </c>
      <c r="B3">
        <v>1.25</v>
      </c>
      <c r="C3" t="s">
        <v>51</v>
      </c>
      <c r="D3" t="s">
        <v>52</v>
      </c>
      <c r="E3">
        <v>1.1</v>
      </c>
      <c r="F3" t="s">
        <v>53</v>
      </c>
      <c r="H3" t="s">
        <v>54</v>
      </c>
      <c r="I3" t="s">
        <v>55</v>
      </c>
    </row>
    <row r="4" spans="1:9">
      <c r="A4" t="s">
        <v>56</v>
      </c>
      <c r="B4">
        <v>1.2</v>
      </c>
      <c r="C4" t="s">
        <v>57</v>
      </c>
      <c r="D4" t="s">
        <v>58</v>
      </c>
      <c r="E4">
        <v>1.1</v>
      </c>
      <c r="F4" t="s">
        <v>59</v>
      </c>
      <c r="H4" t="s">
        <v>60</v>
      </c>
      <c r="I4" t="s">
        <v>61</v>
      </c>
    </row>
    <row r="5" spans="1:9">
      <c r="A5" t="s">
        <v>62</v>
      </c>
      <c r="B5">
        <v>1.3</v>
      </c>
      <c r="C5" t="s">
        <v>63</v>
      </c>
      <c r="D5" t="s">
        <v>64</v>
      </c>
      <c r="E5">
        <v>1.15</v>
      </c>
      <c r="F5" t="s">
        <v>65</v>
      </c>
      <c r="H5" t="s">
        <v>66</v>
      </c>
      <c r="I5" t="s">
        <v>67</v>
      </c>
    </row>
    <row r="6" spans="1:9">
      <c r="A6" t="s">
        <v>68</v>
      </c>
      <c r="B6">
        <v>1.15</v>
      </c>
      <c r="C6" t="s">
        <v>69</v>
      </c>
      <c r="D6" t="s">
        <v>70</v>
      </c>
      <c r="E6">
        <v>1.15</v>
      </c>
      <c r="F6" t="s">
        <v>71</v>
      </c>
      <c r="H6" t="s">
        <v>72</v>
      </c>
      <c r="I6" t="s">
        <v>73</v>
      </c>
    </row>
    <row r="7" spans="1:9">
      <c r="A7" t="s">
        <v>74</v>
      </c>
      <c r="B7">
        <v>1.05</v>
      </c>
      <c r="C7" t="s">
        <v>75</v>
      </c>
      <c r="D7" t="s">
        <v>76</v>
      </c>
      <c r="E7">
        <v>1.1</v>
      </c>
      <c r="F7" t="s">
        <v>77</v>
      </c>
      <c r="H7" t="s">
        <v>78</v>
      </c>
      <c r="I7" t="s">
        <v>79</v>
      </c>
    </row>
    <row r="8" spans="1:9">
      <c r="A8" t="s">
        <v>80</v>
      </c>
      <c r="B8">
        <v>1.15</v>
      </c>
      <c r="C8" t="s">
        <v>81</v>
      </c>
      <c r="D8" t="s">
        <v>82</v>
      </c>
      <c r="E8">
        <v>1.15</v>
      </c>
      <c r="F8" t="s">
        <v>83</v>
      </c>
      <c r="H8" t="s">
        <v>84</v>
      </c>
      <c r="I8" t="s">
        <v>85</v>
      </c>
    </row>
    <row r="9" spans="1:9">
      <c r="A9" t="s">
        <v>86</v>
      </c>
      <c r="B9">
        <v>1.2</v>
      </c>
      <c r="C9" t="s">
        <v>87</v>
      </c>
      <c r="D9" t="s">
        <v>88</v>
      </c>
      <c r="E9">
        <v>1.2</v>
      </c>
      <c r="F9" t="s">
        <v>89</v>
      </c>
      <c r="H9" t="s">
        <v>90</v>
      </c>
      <c r="I9" t="s">
        <v>91</v>
      </c>
    </row>
    <row r="10" spans="1:9">
      <c r="A10" t="s">
        <v>92</v>
      </c>
      <c r="B10">
        <v>1.2</v>
      </c>
      <c r="C10" t="s">
        <v>93</v>
      </c>
      <c r="D10" t="s">
        <v>94</v>
      </c>
      <c r="E10">
        <v>1.1</v>
      </c>
      <c r="F10" t="s">
        <v>95</v>
      </c>
      <c r="H10" t="s">
        <v>96</v>
      </c>
      <c r="I10" t="s">
        <v>97</v>
      </c>
    </row>
    <row r="11" spans="1:9">
      <c r="A11" t="s">
        <v>98</v>
      </c>
      <c r="B11">
        <v>1.15</v>
      </c>
      <c r="C11" t="s">
        <v>99</v>
      </c>
      <c r="D11" t="s">
        <v>100</v>
      </c>
      <c r="E11">
        <v>1.2</v>
      </c>
      <c r="F11" t="s">
        <v>101</v>
      </c>
      <c r="H11" t="s">
        <v>102</v>
      </c>
      <c r="I11" t="s">
        <v>103</v>
      </c>
    </row>
    <row r="12" spans="1:6">
      <c r="A12" t="s">
        <v>104</v>
      </c>
      <c r="B12">
        <v>1.1</v>
      </c>
      <c r="C12" t="s">
        <v>105</v>
      </c>
      <c r="D12" t="s">
        <v>106</v>
      </c>
      <c r="E12">
        <v>1.1</v>
      </c>
      <c r="F12" t="s">
        <v>107</v>
      </c>
    </row>
    <row r="13" spans="1:6">
      <c r="A13" t="s">
        <v>108</v>
      </c>
      <c r="B13">
        <v>1.2</v>
      </c>
      <c r="C13" t="s">
        <v>109</v>
      </c>
      <c r="D13" t="s">
        <v>110</v>
      </c>
      <c r="E13">
        <v>1.05</v>
      </c>
      <c r="F13" t="s">
        <v>111</v>
      </c>
    </row>
    <row r="14" spans="1:6">
      <c r="A14" t="s">
        <v>112</v>
      </c>
      <c r="B14">
        <v>1.05</v>
      </c>
      <c r="C14" t="s">
        <v>113</v>
      </c>
      <c r="D14" t="s">
        <v>114</v>
      </c>
      <c r="E14">
        <v>1.2</v>
      </c>
      <c r="F14" t="s">
        <v>115</v>
      </c>
    </row>
    <row r="15" spans="1:6">
      <c r="A15" t="s">
        <v>116</v>
      </c>
      <c r="B15">
        <v>1.1</v>
      </c>
      <c r="C15" t="s">
        <v>117</v>
      </c>
      <c r="D15" t="s">
        <v>118</v>
      </c>
      <c r="E15">
        <v>1.15</v>
      </c>
      <c r="F15" t="s">
        <v>119</v>
      </c>
    </row>
    <row r="16" spans="1:6">
      <c r="A16" t="s">
        <v>120</v>
      </c>
      <c r="B16">
        <v>1.05</v>
      </c>
      <c r="C16" t="s">
        <v>121</v>
      </c>
      <c r="D16" t="s">
        <v>122</v>
      </c>
      <c r="E16">
        <v>1.15</v>
      </c>
      <c r="F16" t="s">
        <v>123</v>
      </c>
    </row>
    <row r="17" spans="1:6">
      <c r="A17" t="s">
        <v>124</v>
      </c>
      <c r="B17">
        <v>1.2</v>
      </c>
      <c r="C17" t="s">
        <v>125</v>
      </c>
      <c r="D17" t="s">
        <v>126</v>
      </c>
      <c r="E17">
        <v>1.1</v>
      </c>
      <c r="F17" t="s">
        <v>127</v>
      </c>
    </row>
    <row r="18" spans="1:6">
      <c r="A18" t="s">
        <v>128</v>
      </c>
      <c r="B18">
        <v>1.05</v>
      </c>
      <c r="C18" t="s">
        <v>129</v>
      </c>
      <c r="D18" t="s">
        <v>130</v>
      </c>
      <c r="E18">
        <v>1.2</v>
      </c>
      <c r="F18" t="s">
        <v>131</v>
      </c>
    </row>
    <row r="19" spans="1:6">
      <c r="A19" t="s">
        <v>132</v>
      </c>
      <c r="B19">
        <v>1.1</v>
      </c>
      <c r="C19" t="s">
        <v>133</v>
      </c>
      <c r="D19" t="s">
        <v>134</v>
      </c>
      <c r="E19">
        <v>1.2</v>
      </c>
      <c r="F19" t="s">
        <v>135</v>
      </c>
    </row>
    <row r="20" spans="1:6">
      <c r="A20" t="s">
        <v>136</v>
      </c>
      <c r="B20">
        <v>1.1</v>
      </c>
      <c r="C20" t="s">
        <v>137</v>
      </c>
      <c r="D20" t="s">
        <v>138</v>
      </c>
      <c r="E20">
        <v>1.3</v>
      </c>
      <c r="F20" t="s">
        <v>139</v>
      </c>
    </row>
    <row r="21" spans="1:6">
      <c r="A21" t="s">
        <v>140</v>
      </c>
      <c r="B21">
        <v>1.1</v>
      </c>
      <c r="C21" t="s">
        <v>141</v>
      </c>
      <c r="D21" t="s">
        <v>142</v>
      </c>
      <c r="E21">
        <v>1.15</v>
      </c>
      <c r="F21" t="s">
        <v>143</v>
      </c>
    </row>
    <row r="22" spans="1:3">
      <c r="A22" t="s">
        <v>144</v>
      </c>
      <c r="B22">
        <v>1.35</v>
      </c>
      <c r="C22" t="s">
        <v>145</v>
      </c>
    </row>
    <row r="23" spans="1:3">
      <c r="A23" t="s">
        <v>146</v>
      </c>
      <c r="B23">
        <v>1.25</v>
      </c>
      <c r="C23" t="s">
        <v>147</v>
      </c>
    </row>
    <row r="24" spans="1:3">
      <c r="A24" t="s">
        <v>148</v>
      </c>
      <c r="B24">
        <v>1.3</v>
      </c>
      <c r="C24" t="s">
        <v>149</v>
      </c>
    </row>
    <row r="25" spans="1:3">
      <c r="A25" t="s">
        <v>150</v>
      </c>
      <c r="B25">
        <v>1.15</v>
      </c>
      <c r="C25" t="s">
        <v>151</v>
      </c>
    </row>
    <row r="26" spans="1:3">
      <c r="A26" t="s">
        <v>152</v>
      </c>
      <c r="B26">
        <v>1.2</v>
      </c>
      <c r="C26" t="s">
        <v>153</v>
      </c>
    </row>
    <row r="27" spans="1:3">
      <c r="A27" t="s">
        <v>154</v>
      </c>
      <c r="B27">
        <v>1.35</v>
      </c>
      <c r="C27" t="s">
        <v>155</v>
      </c>
    </row>
    <row r="30" spans="1:2">
      <c r="A30" t="s">
        <v>36</v>
      </c>
      <c r="B30" t="s">
        <v>156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301"/>
  <sheetViews>
    <sheetView workbookViewId="0">
      <selection activeCell="A1" sqref="A1"/>
    </sheetView>
  </sheetViews>
  <sheetFormatPr defaultColWidth="10.3846153846154" defaultRowHeight="16.8"/>
  <cols>
    <col min="1" max="1" width="16" customWidth="1"/>
    <col min="2" max="2" width="14" customWidth="1"/>
    <col min="3" max="4" width="18" customWidth="1"/>
    <col min="5" max="5" width="22" customWidth="1"/>
    <col min="6" max="6" width="20" customWidth="1"/>
    <col min="7" max="7" width="24" customWidth="1"/>
    <col min="8" max="8" width="18" customWidth="1"/>
    <col min="9" max="10" width="14" customWidth="1"/>
    <col min="11" max="11" width="16" customWidth="1"/>
    <col min="12" max="12" width="14" customWidth="1"/>
    <col min="13" max="13" width="18" customWidth="1"/>
    <col min="14" max="15" width="16" customWidth="1"/>
    <col min="16" max="18" width="12" customWidth="1"/>
    <col min="19" max="20" width="14" customWidth="1"/>
    <col min="21" max="22" width="12" customWidth="1"/>
    <col min="23" max="23" width="14" customWidth="1"/>
    <col min="24" max="24" width="12" customWidth="1"/>
    <col min="25" max="25" width="14" customWidth="1"/>
    <col min="26" max="26" width="30" customWidth="1"/>
  </cols>
  <sheetData>
    <row r="1" spans="1:26">
      <c r="A1" t="s">
        <v>157</v>
      </c>
      <c r="B1" t="s">
        <v>158</v>
      </c>
      <c r="C1" t="s">
        <v>159</v>
      </c>
      <c r="D1" t="s">
        <v>160</v>
      </c>
      <c r="E1" t="s">
        <v>161</v>
      </c>
      <c r="F1" t="s">
        <v>38</v>
      </c>
      <c r="G1" t="s">
        <v>41</v>
      </c>
      <c r="H1" t="s">
        <v>162</v>
      </c>
      <c r="I1" t="s">
        <v>163</v>
      </c>
      <c r="J1" t="s">
        <v>164</v>
      </c>
      <c r="K1" t="s">
        <v>165</v>
      </c>
      <c r="L1" t="s">
        <v>166</v>
      </c>
      <c r="M1" t="s">
        <v>167</v>
      </c>
      <c r="N1" t="s">
        <v>168</v>
      </c>
      <c r="O1" t="s">
        <v>169</v>
      </c>
      <c r="P1" t="s">
        <v>28</v>
      </c>
      <c r="Q1" t="s">
        <v>39</v>
      </c>
      <c r="R1" t="s">
        <v>42</v>
      </c>
      <c r="S1" t="s">
        <v>30</v>
      </c>
      <c r="T1" t="s">
        <v>170</v>
      </c>
      <c r="U1" t="s">
        <v>34</v>
      </c>
      <c r="V1" t="s">
        <v>171</v>
      </c>
      <c r="W1" t="s">
        <v>172</v>
      </c>
      <c r="X1" t="s">
        <v>173</v>
      </c>
      <c r="Y1" t="s">
        <v>174</v>
      </c>
      <c r="Z1" t="s">
        <v>175</v>
      </c>
    </row>
    <row r="2" spans="1:26">
      <c r="A2" t="s">
        <v>176</v>
      </c>
      <c r="B2" t="s">
        <v>177</v>
      </c>
      <c r="C2" t="s">
        <v>178</v>
      </c>
      <c r="D2" t="s">
        <v>179</v>
      </c>
      <c r="E2" t="s">
        <v>180</v>
      </c>
      <c r="F2" t="s">
        <v>50</v>
      </c>
      <c r="G2" t="s">
        <v>64</v>
      </c>
      <c r="H2" t="s">
        <v>78</v>
      </c>
      <c r="I2">
        <v>5</v>
      </c>
      <c r="J2">
        <v>4</v>
      </c>
      <c r="K2">
        <v>4</v>
      </c>
      <c r="L2">
        <v>5</v>
      </c>
      <c r="M2">
        <v>3</v>
      </c>
      <c r="N2">
        <v>3</v>
      </c>
      <c r="O2">
        <v>4</v>
      </c>
      <c r="P2">
        <f t="shared" ref="P2:P65" si="0">IF(COUNTA(I2:O2)=0,"",ROUND((I2*0.15+J2*0.15+K2*0.25+L2*0.25+O2*0.1+(6-M2)*0.05+(6-N2)*0.05)/5*100,1))</f>
        <v>0</v>
      </c>
      <c r="Q2">
        <f>IF(F2="","",IFERROR(INDEX(场景库!$B:$B,MATCH(F2,场景库!$A:$A,0)),1))</f>
        <v>0</v>
      </c>
      <c r="R2">
        <f>IF(G2="","",IFERROR(INDEX(场景库!$E:$E,MATCH(G2,场景库!$D:$D,0)),1))</f>
        <v>0</v>
      </c>
      <c r="S2">
        <f t="shared" ref="S2:S65" si="1">IF(P2="","",ROUND(MIN(100,P2*Q2*R2),1))</f>
        <v>0</v>
      </c>
      <c r="T2">
        <f t="shared" ref="T2:T65" si="2">IF(S2="","",ROUND(100-S2,1))</f>
        <v>0</v>
      </c>
      <c r="U2">
        <f t="shared" ref="U2:U65" si="3">IF(X2="","",IF(X2&gt;=80,"严重",IF(X2&gt;=60,"高",IF(X2&gt;=40,"中","低"))))</f>
        <v>0</v>
      </c>
      <c r="V2" t="s">
        <v>181</v>
      </c>
      <c r="X2">
        <f t="shared" ref="X2:X65" si="4">IF(S2="","",IF(W2="",S2,W2))</f>
        <v>0</v>
      </c>
      <c r="Y2">
        <f t="shared" ref="Y2:Y65" si="5">IF(X2="","",ROUND(100-X2,1))</f>
        <v>0</v>
      </c>
      <c r="Z2" t="s">
        <v>182</v>
      </c>
    </row>
    <row r="3" spans="1:26">
      <c r="A3" t="s">
        <v>183</v>
      </c>
      <c r="B3" t="s">
        <v>177</v>
      </c>
      <c r="C3" t="s">
        <v>178</v>
      </c>
      <c r="D3" t="s">
        <v>184</v>
      </c>
      <c r="E3" t="s">
        <v>185</v>
      </c>
      <c r="F3" t="s">
        <v>56</v>
      </c>
      <c r="G3" t="s">
        <v>130</v>
      </c>
      <c r="H3" t="s">
        <v>60</v>
      </c>
      <c r="I3">
        <v>4</v>
      </c>
      <c r="J3">
        <v>3</v>
      </c>
      <c r="K3">
        <v>3</v>
      </c>
      <c r="L3">
        <v>4</v>
      </c>
      <c r="M3">
        <v>3</v>
      </c>
      <c r="N3">
        <v>2</v>
      </c>
      <c r="O3">
        <v>3</v>
      </c>
      <c r="P3">
        <f t="shared" si="0"/>
        <v>0</v>
      </c>
      <c r="Q3">
        <f>IF(F3="","",IFERROR(INDEX(场景库!$B:$B,MATCH(F3,场景库!$A:$A,0)),1))</f>
        <v>0</v>
      </c>
      <c r="R3">
        <f>IF(G3="","",IFERROR(INDEX(场景库!$E:$E,MATCH(G3,场景库!$D:$D,0)),1))</f>
        <v>0</v>
      </c>
      <c r="S3">
        <f t="shared" si="1"/>
        <v>0</v>
      </c>
      <c r="T3">
        <f t="shared" si="2"/>
        <v>0</v>
      </c>
      <c r="U3">
        <f t="shared" si="3"/>
        <v>0</v>
      </c>
      <c r="V3" t="s">
        <v>186</v>
      </c>
      <c r="W3">
        <v>48</v>
      </c>
      <c r="X3">
        <f t="shared" si="4"/>
        <v>0</v>
      </c>
      <c r="Y3">
        <f t="shared" si="5"/>
        <v>0</v>
      </c>
      <c r="Z3" t="s">
        <v>187</v>
      </c>
    </row>
    <row r="4" spans="1:26">
      <c r="A4" t="s">
        <v>188</v>
      </c>
      <c r="B4" t="s">
        <v>177</v>
      </c>
      <c r="C4" t="s">
        <v>189</v>
      </c>
      <c r="D4" t="s">
        <v>190</v>
      </c>
      <c r="E4" t="s">
        <v>191</v>
      </c>
      <c r="F4" t="s">
        <v>68</v>
      </c>
      <c r="G4" t="s">
        <v>52</v>
      </c>
      <c r="H4" t="s">
        <v>90</v>
      </c>
      <c r="I4">
        <v>3</v>
      </c>
      <c r="J4">
        <v>4</v>
      </c>
      <c r="K4">
        <v>5</v>
      </c>
      <c r="L4">
        <v>3</v>
      </c>
      <c r="M4">
        <v>2</v>
      </c>
      <c r="N4">
        <v>2</v>
      </c>
      <c r="O4">
        <v>2</v>
      </c>
      <c r="P4">
        <f t="shared" si="0"/>
        <v>0</v>
      </c>
      <c r="Q4">
        <f>IF(F4="","",IFERROR(INDEX(场景库!$B:$B,MATCH(F4,场景库!$A:$A,0)),1))</f>
        <v>0</v>
      </c>
      <c r="R4">
        <f>IF(G4="","",IFERROR(INDEX(场景库!$E:$E,MATCH(G4,场景库!$D:$D,0)),1))</f>
        <v>0</v>
      </c>
      <c r="S4">
        <f t="shared" si="1"/>
        <v>0</v>
      </c>
      <c r="T4">
        <f t="shared" si="2"/>
        <v>0</v>
      </c>
      <c r="U4">
        <f t="shared" si="3"/>
        <v>0</v>
      </c>
      <c r="V4" t="s">
        <v>181</v>
      </c>
      <c r="X4">
        <f t="shared" si="4"/>
        <v>0</v>
      </c>
      <c r="Y4">
        <f t="shared" si="5"/>
        <v>0</v>
      </c>
      <c r="Z4" t="s">
        <v>192</v>
      </c>
    </row>
    <row r="5" spans="1:26">
      <c r="A5" t="s">
        <v>193</v>
      </c>
      <c r="B5" t="s">
        <v>177</v>
      </c>
      <c r="C5" t="s">
        <v>194</v>
      </c>
      <c r="D5" t="s">
        <v>195</v>
      </c>
      <c r="E5" t="s">
        <v>196</v>
      </c>
      <c r="F5" t="s">
        <v>116</v>
      </c>
      <c r="G5" t="s">
        <v>118</v>
      </c>
      <c r="H5" t="s">
        <v>66</v>
      </c>
      <c r="I5">
        <v>4</v>
      </c>
      <c r="J5">
        <v>4</v>
      </c>
      <c r="K5">
        <v>3</v>
      </c>
      <c r="L5">
        <v>5</v>
      </c>
      <c r="M5">
        <v>3</v>
      </c>
      <c r="N5">
        <v>3</v>
      </c>
      <c r="O5">
        <v>5</v>
      </c>
      <c r="P5">
        <f t="shared" si="0"/>
        <v>0</v>
      </c>
      <c r="Q5">
        <f>IF(F5="","",IFERROR(INDEX(场景库!$B:$B,MATCH(F5,场景库!$A:$A,0)),1))</f>
        <v>0</v>
      </c>
      <c r="R5">
        <f>IF(G5="","",IFERROR(INDEX(场景库!$E:$E,MATCH(G5,场景库!$D:$D,0)),1))</f>
        <v>0</v>
      </c>
      <c r="S5">
        <f t="shared" si="1"/>
        <v>0</v>
      </c>
      <c r="T5">
        <f t="shared" si="2"/>
        <v>0</v>
      </c>
      <c r="U5">
        <f t="shared" si="3"/>
        <v>0</v>
      </c>
      <c r="V5" t="s">
        <v>181</v>
      </c>
      <c r="X5">
        <f t="shared" si="4"/>
        <v>0</v>
      </c>
      <c r="Y5">
        <f t="shared" si="5"/>
        <v>0</v>
      </c>
      <c r="Z5" t="s">
        <v>197</v>
      </c>
    </row>
    <row r="6" spans="1:26">
      <c r="A6" t="s">
        <v>198</v>
      </c>
      <c r="B6" t="s">
        <v>177</v>
      </c>
      <c r="C6" t="s">
        <v>199</v>
      </c>
      <c r="D6" t="s">
        <v>200</v>
      </c>
      <c r="E6" t="s">
        <v>201</v>
      </c>
      <c r="F6" t="s">
        <v>92</v>
      </c>
      <c r="G6" t="s">
        <v>114</v>
      </c>
      <c r="H6" t="s">
        <v>48</v>
      </c>
      <c r="I6">
        <v>4</v>
      </c>
      <c r="J6">
        <v>5</v>
      </c>
      <c r="K6">
        <v>4</v>
      </c>
      <c r="L6">
        <v>4</v>
      </c>
      <c r="M6">
        <v>2</v>
      </c>
      <c r="N6">
        <v>3</v>
      </c>
      <c r="O6">
        <v>3</v>
      </c>
      <c r="P6">
        <f t="shared" si="0"/>
        <v>0</v>
      </c>
      <c r="Q6">
        <f>IF(F6="","",IFERROR(INDEX(场景库!$B:$B,MATCH(F6,场景库!$A:$A,0)),1))</f>
        <v>0</v>
      </c>
      <c r="R6">
        <f>IF(G6="","",IFERROR(INDEX(场景库!$E:$E,MATCH(G6,场景库!$D:$D,0)),1))</f>
        <v>0</v>
      </c>
      <c r="S6">
        <f t="shared" si="1"/>
        <v>0</v>
      </c>
      <c r="T6">
        <f t="shared" si="2"/>
        <v>0</v>
      </c>
      <c r="U6">
        <f t="shared" si="3"/>
        <v>0</v>
      </c>
      <c r="V6" t="s">
        <v>181</v>
      </c>
      <c r="X6">
        <f t="shared" si="4"/>
        <v>0</v>
      </c>
      <c r="Y6">
        <f t="shared" si="5"/>
        <v>0</v>
      </c>
      <c r="Z6" t="s">
        <v>202</v>
      </c>
    </row>
    <row r="7" spans="16:25">
      <c r="P7">
        <f t="shared" si="0"/>
        <v>0</v>
      </c>
      <c r="Q7">
        <f>IF(F7="","",IFERROR(INDEX(场景库!$B:$B,MATCH(F7,场景库!$A:$A,0)),1))</f>
        <v>0</v>
      </c>
      <c r="R7">
        <f>IF(G7="","",IFERROR(INDEX(场景库!$E:$E,MATCH(G7,场景库!$D:$D,0)),1))</f>
        <v>0</v>
      </c>
      <c r="S7">
        <f t="shared" si="1"/>
        <v>0</v>
      </c>
      <c r="T7">
        <f t="shared" si="2"/>
        <v>0</v>
      </c>
      <c r="U7">
        <f t="shared" si="3"/>
        <v>0</v>
      </c>
      <c r="X7">
        <f t="shared" si="4"/>
        <v>0</v>
      </c>
      <c r="Y7">
        <f t="shared" si="5"/>
        <v>0</v>
      </c>
    </row>
    <row r="8" spans="16:25">
      <c r="P8">
        <f t="shared" si="0"/>
        <v>0</v>
      </c>
      <c r="Q8">
        <f>IF(F8="","",IFERROR(INDEX(场景库!$B:$B,MATCH(F8,场景库!$A:$A,0)),1))</f>
        <v>0</v>
      </c>
      <c r="R8">
        <f>IF(G8="","",IFERROR(INDEX(场景库!$E:$E,MATCH(G8,场景库!$D:$D,0)),1))</f>
        <v>0</v>
      </c>
      <c r="S8">
        <f t="shared" si="1"/>
        <v>0</v>
      </c>
      <c r="T8">
        <f t="shared" si="2"/>
        <v>0</v>
      </c>
      <c r="U8">
        <f t="shared" si="3"/>
        <v>0</v>
      </c>
      <c r="X8">
        <f t="shared" si="4"/>
        <v>0</v>
      </c>
      <c r="Y8">
        <f t="shared" si="5"/>
        <v>0</v>
      </c>
    </row>
    <row r="9" spans="16:25">
      <c r="P9">
        <f t="shared" si="0"/>
        <v>0</v>
      </c>
      <c r="Q9">
        <f>IF(F9="","",IFERROR(INDEX(场景库!$B:$B,MATCH(F9,场景库!$A:$A,0)),1))</f>
        <v>0</v>
      </c>
      <c r="R9">
        <f>IF(G9="","",IFERROR(INDEX(场景库!$E:$E,MATCH(G9,场景库!$D:$D,0)),1))</f>
        <v>0</v>
      </c>
      <c r="S9">
        <f t="shared" si="1"/>
        <v>0</v>
      </c>
      <c r="T9">
        <f t="shared" si="2"/>
        <v>0</v>
      </c>
      <c r="U9">
        <f t="shared" si="3"/>
        <v>0</v>
      </c>
      <c r="X9">
        <f t="shared" si="4"/>
        <v>0</v>
      </c>
      <c r="Y9">
        <f t="shared" si="5"/>
        <v>0</v>
      </c>
    </row>
    <row r="10" spans="16:25">
      <c r="P10">
        <f t="shared" si="0"/>
        <v>0</v>
      </c>
      <c r="Q10">
        <f>IF(F10="","",IFERROR(INDEX(场景库!$B:$B,MATCH(F10,场景库!$A:$A,0)),1))</f>
        <v>0</v>
      </c>
      <c r="R10">
        <f>IF(G10="","",IFERROR(INDEX(场景库!$E:$E,MATCH(G10,场景库!$D:$D,0)),1))</f>
        <v>0</v>
      </c>
      <c r="S10">
        <f t="shared" si="1"/>
        <v>0</v>
      </c>
      <c r="T10">
        <f t="shared" si="2"/>
        <v>0</v>
      </c>
      <c r="U10">
        <f t="shared" si="3"/>
        <v>0</v>
      </c>
      <c r="X10">
        <f t="shared" si="4"/>
        <v>0</v>
      </c>
      <c r="Y10">
        <f t="shared" si="5"/>
        <v>0</v>
      </c>
    </row>
    <row r="11" spans="16:25">
      <c r="P11">
        <f t="shared" si="0"/>
        <v>0</v>
      </c>
      <c r="Q11">
        <f>IF(F11="","",IFERROR(INDEX(场景库!$B:$B,MATCH(F11,场景库!$A:$A,0)),1))</f>
        <v>0</v>
      </c>
      <c r="R11">
        <f>IF(G11="","",IFERROR(INDEX(场景库!$E:$E,MATCH(G11,场景库!$D:$D,0)),1))</f>
        <v>0</v>
      </c>
      <c r="S11">
        <f t="shared" si="1"/>
        <v>0</v>
      </c>
      <c r="T11">
        <f t="shared" si="2"/>
        <v>0</v>
      </c>
      <c r="U11">
        <f t="shared" si="3"/>
        <v>0</v>
      </c>
      <c r="X11">
        <f t="shared" si="4"/>
        <v>0</v>
      </c>
      <c r="Y11">
        <f t="shared" si="5"/>
        <v>0</v>
      </c>
    </row>
    <row r="12" spans="16:25">
      <c r="P12">
        <f t="shared" si="0"/>
        <v>0</v>
      </c>
      <c r="Q12">
        <f>IF(F12="","",IFERROR(INDEX(场景库!$B:$B,MATCH(F12,场景库!$A:$A,0)),1))</f>
        <v>0</v>
      </c>
      <c r="R12">
        <f>IF(G12="","",IFERROR(INDEX(场景库!$E:$E,MATCH(G12,场景库!$D:$D,0)),1))</f>
        <v>0</v>
      </c>
      <c r="S12">
        <f t="shared" si="1"/>
        <v>0</v>
      </c>
      <c r="T12">
        <f t="shared" si="2"/>
        <v>0</v>
      </c>
      <c r="U12">
        <f t="shared" si="3"/>
        <v>0</v>
      </c>
      <c r="X12">
        <f t="shared" si="4"/>
        <v>0</v>
      </c>
      <c r="Y12">
        <f t="shared" si="5"/>
        <v>0</v>
      </c>
    </row>
    <row r="13" spans="16:25">
      <c r="P13">
        <f t="shared" si="0"/>
        <v>0</v>
      </c>
      <c r="Q13">
        <f>IF(F13="","",IFERROR(INDEX(场景库!$B:$B,MATCH(F13,场景库!$A:$A,0)),1))</f>
        <v>0</v>
      </c>
      <c r="R13">
        <f>IF(G13="","",IFERROR(INDEX(场景库!$E:$E,MATCH(G13,场景库!$D:$D,0)),1))</f>
        <v>0</v>
      </c>
      <c r="S13">
        <f t="shared" si="1"/>
        <v>0</v>
      </c>
      <c r="T13">
        <f t="shared" si="2"/>
        <v>0</v>
      </c>
      <c r="U13">
        <f t="shared" si="3"/>
        <v>0</v>
      </c>
      <c r="X13">
        <f t="shared" si="4"/>
        <v>0</v>
      </c>
      <c r="Y13">
        <f t="shared" si="5"/>
        <v>0</v>
      </c>
    </row>
    <row r="14" spans="16:25">
      <c r="P14">
        <f t="shared" si="0"/>
        <v>0</v>
      </c>
      <c r="Q14">
        <f>IF(F14="","",IFERROR(INDEX(场景库!$B:$B,MATCH(F14,场景库!$A:$A,0)),1))</f>
        <v>0</v>
      </c>
      <c r="R14">
        <f>IF(G14="","",IFERROR(INDEX(场景库!$E:$E,MATCH(G14,场景库!$D:$D,0)),1))</f>
        <v>0</v>
      </c>
      <c r="S14">
        <f t="shared" si="1"/>
        <v>0</v>
      </c>
      <c r="T14">
        <f t="shared" si="2"/>
        <v>0</v>
      </c>
      <c r="U14">
        <f t="shared" si="3"/>
        <v>0</v>
      </c>
      <c r="X14">
        <f t="shared" si="4"/>
        <v>0</v>
      </c>
      <c r="Y14">
        <f t="shared" si="5"/>
        <v>0</v>
      </c>
    </row>
    <row r="15" spans="16:25">
      <c r="P15">
        <f t="shared" si="0"/>
        <v>0</v>
      </c>
      <c r="Q15">
        <f>IF(F15="","",IFERROR(INDEX(场景库!$B:$B,MATCH(F15,场景库!$A:$A,0)),1))</f>
        <v>0</v>
      </c>
      <c r="R15">
        <f>IF(G15="","",IFERROR(INDEX(场景库!$E:$E,MATCH(G15,场景库!$D:$D,0)),1))</f>
        <v>0</v>
      </c>
      <c r="S15">
        <f t="shared" si="1"/>
        <v>0</v>
      </c>
      <c r="T15">
        <f t="shared" si="2"/>
        <v>0</v>
      </c>
      <c r="U15">
        <f t="shared" si="3"/>
        <v>0</v>
      </c>
      <c r="X15">
        <f t="shared" si="4"/>
        <v>0</v>
      </c>
      <c r="Y15">
        <f t="shared" si="5"/>
        <v>0</v>
      </c>
    </row>
    <row r="16" spans="16:25">
      <c r="P16">
        <f t="shared" si="0"/>
        <v>0</v>
      </c>
      <c r="Q16">
        <f>IF(F16="","",IFERROR(INDEX(场景库!$B:$B,MATCH(F16,场景库!$A:$A,0)),1))</f>
        <v>0</v>
      </c>
      <c r="R16">
        <f>IF(G16="","",IFERROR(INDEX(场景库!$E:$E,MATCH(G16,场景库!$D:$D,0)),1))</f>
        <v>0</v>
      </c>
      <c r="S16">
        <f t="shared" si="1"/>
        <v>0</v>
      </c>
      <c r="T16">
        <f t="shared" si="2"/>
        <v>0</v>
      </c>
      <c r="U16">
        <f t="shared" si="3"/>
        <v>0</v>
      </c>
      <c r="X16">
        <f t="shared" si="4"/>
        <v>0</v>
      </c>
      <c r="Y16">
        <f t="shared" si="5"/>
        <v>0</v>
      </c>
    </row>
    <row r="17" spans="16:25">
      <c r="P17">
        <f t="shared" si="0"/>
        <v>0</v>
      </c>
      <c r="Q17">
        <f>IF(F17="","",IFERROR(INDEX(场景库!$B:$B,MATCH(F17,场景库!$A:$A,0)),1))</f>
        <v>0</v>
      </c>
      <c r="R17">
        <f>IF(G17="","",IFERROR(INDEX(场景库!$E:$E,MATCH(G17,场景库!$D:$D,0)),1))</f>
        <v>0</v>
      </c>
      <c r="S17">
        <f t="shared" si="1"/>
        <v>0</v>
      </c>
      <c r="T17">
        <f t="shared" si="2"/>
        <v>0</v>
      </c>
      <c r="U17">
        <f t="shared" si="3"/>
        <v>0</v>
      </c>
      <c r="X17">
        <f t="shared" si="4"/>
        <v>0</v>
      </c>
      <c r="Y17">
        <f t="shared" si="5"/>
        <v>0</v>
      </c>
    </row>
    <row r="18" spans="16:25">
      <c r="P18">
        <f t="shared" si="0"/>
        <v>0</v>
      </c>
      <c r="Q18">
        <f>IF(F18="","",IFERROR(INDEX(场景库!$B:$B,MATCH(F18,场景库!$A:$A,0)),1))</f>
        <v>0</v>
      </c>
      <c r="R18">
        <f>IF(G18="","",IFERROR(INDEX(场景库!$E:$E,MATCH(G18,场景库!$D:$D,0)),1))</f>
        <v>0</v>
      </c>
      <c r="S18">
        <f t="shared" si="1"/>
        <v>0</v>
      </c>
      <c r="T18">
        <f t="shared" si="2"/>
        <v>0</v>
      </c>
      <c r="U18">
        <f t="shared" si="3"/>
        <v>0</v>
      </c>
      <c r="X18">
        <f t="shared" si="4"/>
        <v>0</v>
      </c>
      <c r="Y18">
        <f t="shared" si="5"/>
        <v>0</v>
      </c>
    </row>
    <row r="19" spans="16:25">
      <c r="P19">
        <f t="shared" si="0"/>
        <v>0</v>
      </c>
      <c r="Q19">
        <f>IF(F19="","",IFERROR(INDEX(场景库!$B:$B,MATCH(F19,场景库!$A:$A,0)),1))</f>
        <v>0</v>
      </c>
      <c r="R19">
        <f>IF(G19="","",IFERROR(INDEX(场景库!$E:$E,MATCH(G19,场景库!$D:$D,0)),1))</f>
        <v>0</v>
      </c>
      <c r="S19">
        <f t="shared" si="1"/>
        <v>0</v>
      </c>
      <c r="T19">
        <f t="shared" si="2"/>
        <v>0</v>
      </c>
      <c r="U19">
        <f t="shared" si="3"/>
        <v>0</v>
      </c>
      <c r="X19">
        <f t="shared" si="4"/>
        <v>0</v>
      </c>
      <c r="Y19">
        <f t="shared" si="5"/>
        <v>0</v>
      </c>
    </row>
    <row r="20" spans="16:25">
      <c r="P20">
        <f t="shared" si="0"/>
        <v>0</v>
      </c>
      <c r="Q20">
        <f>IF(F20="","",IFERROR(INDEX(场景库!$B:$B,MATCH(F20,场景库!$A:$A,0)),1))</f>
        <v>0</v>
      </c>
      <c r="R20">
        <f>IF(G20="","",IFERROR(INDEX(场景库!$E:$E,MATCH(G20,场景库!$D:$D,0)),1))</f>
        <v>0</v>
      </c>
      <c r="S20">
        <f t="shared" si="1"/>
        <v>0</v>
      </c>
      <c r="T20">
        <f t="shared" si="2"/>
        <v>0</v>
      </c>
      <c r="U20">
        <f t="shared" si="3"/>
        <v>0</v>
      </c>
      <c r="X20">
        <f t="shared" si="4"/>
        <v>0</v>
      </c>
      <c r="Y20">
        <f t="shared" si="5"/>
        <v>0</v>
      </c>
    </row>
    <row r="21" spans="16:25">
      <c r="P21">
        <f t="shared" si="0"/>
        <v>0</v>
      </c>
      <c r="Q21">
        <f>IF(F21="","",IFERROR(INDEX(场景库!$B:$B,MATCH(F21,场景库!$A:$A,0)),1))</f>
        <v>0</v>
      </c>
      <c r="R21">
        <f>IF(G21="","",IFERROR(INDEX(场景库!$E:$E,MATCH(G21,场景库!$D:$D,0)),1))</f>
        <v>0</v>
      </c>
      <c r="S21">
        <f t="shared" si="1"/>
        <v>0</v>
      </c>
      <c r="T21">
        <f t="shared" si="2"/>
        <v>0</v>
      </c>
      <c r="U21">
        <f t="shared" si="3"/>
        <v>0</v>
      </c>
      <c r="X21">
        <f t="shared" si="4"/>
        <v>0</v>
      </c>
      <c r="Y21">
        <f t="shared" si="5"/>
        <v>0</v>
      </c>
    </row>
    <row r="22" spans="16:25">
      <c r="P22">
        <f t="shared" si="0"/>
        <v>0</v>
      </c>
      <c r="Q22">
        <f>IF(F22="","",IFERROR(INDEX(场景库!$B:$B,MATCH(F22,场景库!$A:$A,0)),1))</f>
        <v>0</v>
      </c>
      <c r="R22">
        <f>IF(G22="","",IFERROR(INDEX(场景库!$E:$E,MATCH(G22,场景库!$D:$D,0)),1))</f>
        <v>0</v>
      </c>
      <c r="S22">
        <f t="shared" si="1"/>
        <v>0</v>
      </c>
      <c r="T22">
        <f t="shared" si="2"/>
        <v>0</v>
      </c>
      <c r="U22">
        <f t="shared" si="3"/>
        <v>0</v>
      </c>
      <c r="X22">
        <f t="shared" si="4"/>
        <v>0</v>
      </c>
      <c r="Y22">
        <f t="shared" si="5"/>
        <v>0</v>
      </c>
    </row>
    <row r="23" spans="16:25">
      <c r="P23">
        <f t="shared" si="0"/>
        <v>0</v>
      </c>
      <c r="Q23">
        <f>IF(F23="","",IFERROR(INDEX(场景库!$B:$B,MATCH(F23,场景库!$A:$A,0)),1))</f>
        <v>0</v>
      </c>
      <c r="R23">
        <f>IF(G23="","",IFERROR(INDEX(场景库!$E:$E,MATCH(G23,场景库!$D:$D,0)),1))</f>
        <v>0</v>
      </c>
      <c r="S23">
        <f t="shared" si="1"/>
        <v>0</v>
      </c>
      <c r="T23">
        <f t="shared" si="2"/>
        <v>0</v>
      </c>
      <c r="U23">
        <f t="shared" si="3"/>
        <v>0</v>
      </c>
      <c r="X23">
        <f t="shared" si="4"/>
        <v>0</v>
      </c>
      <c r="Y23">
        <f t="shared" si="5"/>
        <v>0</v>
      </c>
    </row>
    <row r="24" spans="16:25">
      <c r="P24">
        <f t="shared" si="0"/>
        <v>0</v>
      </c>
      <c r="Q24">
        <f>IF(F24="","",IFERROR(INDEX(场景库!$B:$B,MATCH(F24,场景库!$A:$A,0)),1))</f>
        <v>0</v>
      </c>
      <c r="R24">
        <f>IF(G24="","",IFERROR(INDEX(场景库!$E:$E,MATCH(G24,场景库!$D:$D,0)),1))</f>
        <v>0</v>
      </c>
      <c r="S24">
        <f t="shared" si="1"/>
        <v>0</v>
      </c>
      <c r="T24">
        <f t="shared" si="2"/>
        <v>0</v>
      </c>
      <c r="U24">
        <f t="shared" si="3"/>
        <v>0</v>
      </c>
      <c r="X24">
        <f t="shared" si="4"/>
        <v>0</v>
      </c>
      <c r="Y24">
        <f t="shared" si="5"/>
        <v>0</v>
      </c>
    </row>
    <row r="25" spans="16:25">
      <c r="P25">
        <f t="shared" si="0"/>
        <v>0</v>
      </c>
      <c r="Q25">
        <f>IF(F25="","",IFERROR(INDEX(场景库!$B:$B,MATCH(F25,场景库!$A:$A,0)),1))</f>
        <v>0</v>
      </c>
      <c r="R25">
        <f>IF(G25="","",IFERROR(INDEX(场景库!$E:$E,MATCH(G25,场景库!$D:$D,0)),1))</f>
        <v>0</v>
      </c>
      <c r="S25">
        <f t="shared" si="1"/>
        <v>0</v>
      </c>
      <c r="T25">
        <f t="shared" si="2"/>
        <v>0</v>
      </c>
      <c r="U25">
        <f t="shared" si="3"/>
        <v>0</v>
      </c>
      <c r="X25">
        <f t="shared" si="4"/>
        <v>0</v>
      </c>
      <c r="Y25">
        <f t="shared" si="5"/>
        <v>0</v>
      </c>
    </row>
    <row r="26" spans="16:25">
      <c r="P26">
        <f t="shared" si="0"/>
        <v>0</v>
      </c>
      <c r="Q26">
        <f>IF(F26="","",IFERROR(INDEX(场景库!$B:$B,MATCH(F26,场景库!$A:$A,0)),1))</f>
        <v>0</v>
      </c>
      <c r="R26">
        <f>IF(G26="","",IFERROR(INDEX(场景库!$E:$E,MATCH(G26,场景库!$D:$D,0)),1))</f>
        <v>0</v>
      </c>
      <c r="S26">
        <f t="shared" si="1"/>
        <v>0</v>
      </c>
      <c r="T26">
        <f t="shared" si="2"/>
        <v>0</v>
      </c>
      <c r="U26">
        <f t="shared" si="3"/>
        <v>0</v>
      </c>
      <c r="X26">
        <f t="shared" si="4"/>
        <v>0</v>
      </c>
      <c r="Y26">
        <f t="shared" si="5"/>
        <v>0</v>
      </c>
    </row>
    <row r="27" spans="16:25">
      <c r="P27">
        <f t="shared" si="0"/>
        <v>0</v>
      </c>
      <c r="Q27">
        <f>IF(F27="","",IFERROR(INDEX(场景库!$B:$B,MATCH(F27,场景库!$A:$A,0)),1))</f>
        <v>0</v>
      </c>
      <c r="R27">
        <f>IF(G27="","",IFERROR(INDEX(场景库!$E:$E,MATCH(G27,场景库!$D:$D,0)),1))</f>
        <v>0</v>
      </c>
      <c r="S27">
        <f t="shared" si="1"/>
        <v>0</v>
      </c>
      <c r="T27">
        <f t="shared" si="2"/>
        <v>0</v>
      </c>
      <c r="U27">
        <f t="shared" si="3"/>
        <v>0</v>
      </c>
      <c r="X27">
        <f t="shared" si="4"/>
        <v>0</v>
      </c>
      <c r="Y27">
        <f t="shared" si="5"/>
        <v>0</v>
      </c>
    </row>
    <row r="28" spans="16:25">
      <c r="P28">
        <f t="shared" si="0"/>
        <v>0</v>
      </c>
      <c r="Q28">
        <f>IF(F28="","",IFERROR(INDEX(场景库!$B:$B,MATCH(F28,场景库!$A:$A,0)),1))</f>
        <v>0</v>
      </c>
      <c r="R28">
        <f>IF(G28="","",IFERROR(INDEX(场景库!$E:$E,MATCH(G28,场景库!$D:$D,0)),1))</f>
        <v>0</v>
      </c>
      <c r="S28">
        <f t="shared" si="1"/>
        <v>0</v>
      </c>
      <c r="T28">
        <f t="shared" si="2"/>
        <v>0</v>
      </c>
      <c r="U28">
        <f t="shared" si="3"/>
        <v>0</v>
      </c>
      <c r="X28">
        <f t="shared" si="4"/>
        <v>0</v>
      </c>
      <c r="Y28">
        <f t="shared" si="5"/>
        <v>0</v>
      </c>
    </row>
    <row r="29" spans="16:25">
      <c r="P29">
        <f t="shared" si="0"/>
        <v>0</v>
      </c>
      <c r="Q29">
        <f>IF(F29="","",IFERROR(INDEX(场景库!$B:$B,MATCH(F29,场景库!$A:$A,0)),1))</f>
        <v>0</v>
      </c>
      <c r="R29">
        <f>IF(G29="","",IFERROR(INDEX(场景库!$E:$E,MATCH(G29,场景库!$D:$D,0)),1))</f>
        <v>0</v>
      </c>
      <c r="S29">
        <f t="shared" si="1"/>
        <v>0</v>
      </c>
      <c r="T29">
        <f t="shared" si="2"/>
        <v>0</v>
      </c>
      <c r="U29">
        <f t="shared" si="3"/>
        <v>0</v>
      </c>
      <c r="X29">
        <f t="shared" si="4"/>
        <v>0</v>
      </c>
      <c r="Y29">
        <f t="shared" si="5"/>
        <v>0</v>
      </c>
    </row>
    <row r="30" spans="16:25">
      <c r="P30">
        <f t="shared" si="0"/>
        <v>0</v>
      </c>
      <c r="Q30">
        <f>IF(F30="","",IFERROR(INDEX(场景库!$B:$B,MATCH(F30,场景库!$A:$A,0)),1))</f>
        <v>0</v>
      </c>
      <c r="R30">
        <f>IF(G30="","",IFERROR(INDEX(场景库!$E:$E,MATCH(G30,场景库!$D:$D,0)),1))</f>
        <v>0</v>
      </c>
      <c r="S30">
        <f t="shared" si="1"/>
        <v>0</v>
      </c>
      <c r="T30">
        <f t="shared" si="2"/>
        <v>0</v>
      </c>
      <c r="U30">
        <f t="shared" si="3"/>
        <v>0</v>
      </c>
      <c r="X30">
        <f t="shared" si="4"/>
        <v>0</v>
      </c>
      <c r="Y30">
        <f t="shared" si="5"/>
        <v>0</v>
      </c>
    </row>
    <row r="31" spans="16:25">
      <c r="P31">
        <f t="shared" si="0"/>
        <v>0</v>
      </c>
      <c r="Q31">
        <f>IF(F31="","",IFERROR(INDEX(场景库!$B:$B,MATCH(F31,场景库!$A:$A,0)),1))</f>
        <v>0</v>
      </c>
      <c r="R31">
        <f>IF(G31="","",IFERROR(INDEX(场景库!$E:$E,MATCH(G31,场景库!$D:$D,0)),1))</f>
        <v>0</v>
      </c>
      <c r="S31">
        <f t="shared" si="1"/>
        <v>0</v>
      </c>
      <c r="T31">
        <f t="shared" si="2"/>
        <v>0</v>
      </c>
      <c r="U31">
        <f t="shared" si="3"/>
        <v>0</v>
      </c>
      <c r="X31">
        <f t="shared" si="4"/>
        <v>0</v>
      </c>
      <c r="Y31">
        <f t="shared" si="5"/>
        <v>0</v>
      </c>
    </row>
    <row r="32" spans="16:25">
      <c r="P32">
        <f t="shared" si="0"/>
        <v>0</v>
      </c>
      <c r="Q32">
        <f>IF(F32="","",IFERROR(INDEX(场景库!$B:$B,MATCH(F32,场景库!$A:$A,0)),1))</f>
        <v>0</v>
      </c>
      <c r="R32">
        <f>IF(G32="","",IFERROR(INDEX(场景库!$E:$E,MATCH(G32,场景库!$D:$D,0)),1))</f>
        <v>0</v>
      </c>
      <c r="S32">
        <f t="shared" si="1"/>
        <v>0</v>
      </c>
      <c r="T32">
        <f t="shared" si="2"/>
        <v>0</v>
      </c>
      <c r="U32">
        <f t="shared" si="3"/>
        <v>0</v>
      </c>
      <c r="X32">
        <f t="shared" si="4"/>
        <v>0</v>
      </c>
      <c r="Y32">
        <f t="shared" si="5"/>
        <v>0</v>
      </c>
    </row>
    <row r="33" spans="16:25">
      <c r="P33">
        <f t="shared" si="0"/>
        <v>0</v>
      </c>
      <c r="Q33">
        <f>IF(F33="","",IFERROR(INDEX(场景库!$B:$B,MATCH(F33,场景库!$A:$A,0)),1))</f>
        <v>0</v>
      </c>
      <c r="R33">
        <f>IF(G33="","",IFERROR(INDEX(场景库!$E:$E,MATCH(G33,场景库!$D:$D,0)),1))</f>
        <v>0</v>
      </c>
      <c r="S33">
        <f t="shared" si="1"/>
        <v>0</v>
      </c>
      <c r="T33">
        <f t="shared" si="2"/>
        <v>0</v>
      </c>
      <c r="U33">
        <f t="shared" si="3"/>
        <v>0</v>
      </c>
      <c r="X33">
        <f t="shared" si="4"/>
        <v>0</v>
      </c>
      <c r="Y33">
        <f t="shared" si="5"/>
        <v>0</v>
      </c>
    </row>
    <row r="34" spans="16:25">
      <c r="P34">
        <f t="shared" si="0"/>
        <v>0</v>
      </c>
      <c r="Q34">
        <f>IF(F34="","",IFERROR(INDEX(场景库!$B:$B,MATCH(F34,场景库!$A:$A,0)),1))</f>
        <v>0</v>
      </c>
      <c r="R34">
        <f>IF(G34="","",IFERROR(INDEX(场景库!$E:$E,MATCH(G34,场景库!$D:$D,0)),1))</f>
        <v>0</v>
      </c>
      <c r="S34">
        <f t="shared" si="1"/>
        <v>0</v>
      </c>
      <c r="T34">
        <f t="shared" si="2"/>
        <v>0</v>
      </c>
      <c r="U34">
        <f t="shared" si="3"/>
        <v>0</v>
      </c>
      <c r="X34">
        <f t="shared" si="4"/>
        <v>0</v>
      </c>
      <c r="Y34">
        <f t="shared" si="5"/>
        <v>0</v>
      </c>
    </row>
    <row r="35" spans="16:25">
      <c r="P35">
        <f t="shared" si="0"/>
        <v>0</v>
      </c>
      <c r="Q35">
        <f>IF(F35="","",IFERROR(INDEX(场景库!$B:$B,MATCH(F35,场景库!$A:$A,0)),1))</f>
        <v>0</v>
      </c>
      <c r="R35">
        <f>IF(G35="","",IFERROR(INDEX(场景库!$E:$E,MATCH(G35,场景库!$D:$D,0)),1))</f>
        <v>0</v>
      </c>
      <c r="S35">
        <f t="shared" si="1"/>
        <v>0</v>
      </c>
      <c r="T35">
        <f t="shared" si="2"/>
        <v>0</v>
      </c>
      <c r="U35">
        <f t="shared" si="3"/>
        <v>0</v>
      </c>
      <c r="X35">
        <f t="shared" si="4"/>
        <v>0</v>
      </c>
      <c r="Y35">
        <f t="shared" si="5"/>
        <v>0</v>
      </c>
    </row>
    <row r="36" spans="16:25">
      <c r="P36">
        <f t="shared" si="0"/>
        <v>0</v>
      </c>
      <c r="Q36">
        <f>IF(F36="","",IFERROR(INDEX(场景库!$B:$B,MATCH(F36,场景库!$A:$A,0)),1))</f>
        <v>0</v>
      </c>
      <c r="R36">
        <f>IF(G36="","",IFERROR(INDEX(场景库!$E:$E,MATCH(G36,场景库!$D:$D,0)),1))</f>
        <v>0</v>
      </c>
      <c r="S36">
        <f t="shared" si="1"/>
        <v>0</v>
      </c>
      <c r="T36">
        <f t="shared" si="2"/>
        <v>0</v>
      </c>
      <c r="U36">
        <f t="shared" si="3"/>
        <v>0</v>
      </c>
      <c r="X36">
        <f t="shared" si="4"/>
        <v>0</v>
      </c>
      <c r="Y36">
        <f t="shared" si="5"/>
        <v>0</v>
      </c>
    </row>
    <row r="37" spans="16:25">
      <c r="P37">
        <f t="shared" si="0"/>
        <v>0</v>
      </c>
      <c r="Q37">
        <f>IF(F37="","",IFERROR(INDEX(场景库!$B:$B,MATCH(F37,场景库!$A:$A,0)),1))</f>
        <v>0</v>
      </c>
      <c r="R37">
        <f>IF(G37="","",IFERROR(INDEX(场景库!$E:$E,MATCH(G37,场景库!$D:$D,0)),1))</f>
        <v>0</v>
      </c>
      <c r="S37">
        <f t="shared" si="1"/>
        <v>0</v>
      </c>
      <c r="T37">
        <f t="shared" si="2"/>
        <v>0</v>
      </c>
      <c r="U37">
        <f t="shared" si="3"/>
        <v>0</v>
      </c>
      <c r="X37">
        <f t="shared" si="4"/>
        <v>0</v>
      </c>
      <c r="Y37">
        <f t="shared" si="5"/>
        <v>0</v>
      </c>
    </row>
    <row r="38" spans="16:25">
      <c r="P38">
        <f t="shared" si="0"/>
        <v>0</v>
      </c>
      <c r="Q38">
        <f>IF(F38="","",IFERROR(INDEX(场景库!$B:$B,MATCH(F38,场景库!$A:$A,0)),1))</f>
        <v>0</v>
      </c>
      <c r="R38">
        <f>IF(G38="","",IFERROR(INDEX(场景库!$E:$E,MATCH(G38,场景库!$D:$D,0)),1))</f>
        <v>0</v>
      </c>
      <c r="S38">
        <f t="shared" si="1"/>
        <v>0</v>
      </c>
      <c r="T38">
        <f t="shared" si="2"/>
        <v>0</v>
      </c>
      <c r="U38">
        <f t="shared" si="3"/>
        <v>0</v>
      </c>
      <c r="X38">
        <f t="shared" si="4"/>
        <v>0</v>
      </c>
      <c r="Y38">
        <f t="shared" si="5"/>
        <v>0</v>
      </c>
    </row>
    <row r="39" spans="16:25">
      <c r="P39">
        <f t="shared" si="0"/>
        <v>0</v>
      </c>
      <c r="Q39">
        <f>IF(F39="","",IFERROR(INDEX(场景库!$B:$B,MATCH(F39,场景库!$A:$A,0)),1))</f>
        <v>0</v>
      </c>
      <c r="R39">
        <f>IF(G39="","",IFERROR(INDEX(场景库!$E:$E,MATCH(G39,场景库!$D:$D,0)),1))</f>
        <v>0</v>
      </c>
      <c r="S39">
        <f t="shared" si="1"/>
        <v>0</v>
      </c>
      <c r="T39">
        <f t="shared" si="2"/>
        <v>0</v>
      </c>
      <c r="U39">
        <f t="shared" si="3"/>
        <v>0</v>
      </c>
      <c r="X39">
        <f t="shared" si="4"/>
        <v>0</v>
      </c>
      <c r="Y39">
        <f t="shared" si="5"/>
        <v>0</v>
      </c>
    </row>
    <row r="40" spans="16:25">
      <c r="P40">
        <f t="shared" si="0"/>
        <v>0</v>
      </c>
      <c r="Q40">
        <f>IF(F40="","",IFERROR(INDEX(场景库!$B:$B,MATCH(F40,场景库!$A:$A,0)),1))</f>
        <v>0</v>
      </c>
      <c r="R40">
        <f>IF(G40="","",IFERROR(INDEX(场景库!$E:$E,MATCH(G40,场景库!$D:$D,0)),1))</f>
        <v>0</v>
      </c>
      <c r="S40">
        <f t="shared" si="1"/>
        <v>0</v>
      </c>
      <c r="T40">
        <f t="shared" si="2"/>
        <v>0</v>
      </c>
      <c r="U40">
        <f t="shared" si="3"/>
        <v>0</v>
      </c>
      <c r="X40">
        <f t="shared" si="4"/>
        <v>0</v>
      </c>
      <c r="Y40">
        <f t="shared" si="5"/>
        <v>0</v>
      </c>
    </row>
    <row r="41" spans="16:25">
      <c r="P41">
        <f t="shared" si="0"/>
        <v>0</v>
      </c>
      <c r="Q41">
        <f>IF(F41="","",IFERROR(INDEX(场景库!$B:$B,MATCH(F41,场景库!$A:$A,0)),1))</f>
        <v>0</v>
      </c>
      <c r="R41">
        <f>IF(G41="","",IFERROR(INDEX(场景库!$E:$E,MATCH(G41,场景库!$D:$D,0)),1))</f>
        <v>0</v>
      </c>
      <c r="S41">
        <f t="shared" si="1"/>
        <v>0</v>
      </c>
      <c r="T41">
        <f t="shared" si="2"/>
        <v>0</v>
      </c>
      <c r="U41">
        <f t="shared" si="3"/>
        <v>0</v>
      </c>
      <c r="X41">
        <f t="shared" si="4"/>
        <v>0</v>
      </c>
      <c r="Y41">
        <f t="shared" si="5"/>
        <v>0</v>
      </c>
    </row>
    <row r="42" spans="16:25">
      <c r="P42">
        <f t="shared" si="0"/>
        <v>0</v>
      </c>
      <c r="Q42">
        <f>IF(F42="","",IFERROR(INDEX(场景库!$B:$B,MATCH(F42,场景库!$A:$A,0)),1))</f>
        <v>0</v>
      </c>
      <c r="R42">
        <f>IF(G42="","",IFERROR(INDEX(场景库!$E:$E,MATCH(G42,场景库!$D:$D,0)),1))</f>
        <v>0</v>
      </c>
      <c r="S42">
        <f t="shared" si="1"/>
        <v>0</v>
      </c>
      <c r="T42">
        <f t="shared" si="2"/>
        <v>0</v>
      </c>
      <c r="U42">
        <f t="shared" si="3"/>
        <v>0</v>
      </c>
      <c r="X42">
        <f t="shared" si="4"/>
        <v>0</v>
      </c>
      <c r="Y42">
        <f t="shared" si="5"/>
        <v>0</v>
      </c>
    </row>
    <row r="43" spans="16:25">
      <c r="P43">
        <f t="shared" si="0"/>
        <v>0</v>
      </c>
      <c r="Q43">
        <f>IF(F43="","",IFERROR(INDEX(场景库!$B:$B,MATCH(F43,场景库!$A:$A,0)),1))</f>
        <v>0</v>
      </c>
      <c r="R43">
        <f>IF(G43="","",IFERROR(INDEX(场景库!$E:$E,MATCH(G43,场景库!$D:$D,0)),1))</f>
        <v>0</v>
      </c>
      <c r="S43">
        <f t="shared" si="1"/>
        <v>0</v>
      </c>
      <c r="T43">
        <f t="shared" si="2"/>
        <v>0</v>
      </c>
      <c r="U43">
        <f t="shared" si="3"/>
        <v>0</v>
      </c>
      <c r="X43">
        <f t="shared" si="4"/>
        <v>0</v>
      </c>
      <c r="Y43">
        <f t="shared" si="5"/>
        <v>0</v>
      </c>
    </row>
    <row r="44" spans="16:25">
      <c r="P44">
        <f t="shared" si="0"/>
        <v>0</v>
      </c>
      <c r="Q44">
        <f>IF(F44="","",IFERROR(INDEX(场景库!$B:$B,MATCH(F44,场景库!$A:$A,0)),1))</f>
        <v>0</v>
      </c>
      <c r="R44">
        <f>IF(G44="","",IFERROR(INDEX(场景库!$E:$E,MATCH(G44,场景库!$D:$D,0)),1))</f>
        <v>0</v>
      </c>
      <c r="S44">
        <f t="shared" si="1"/>
        <v>0</v>
      </c>
      <c r="T44">
        <f t="shared" si="2"/>
        <v>0</v>
      </c>
      <c r="U44">
        <f t="shared" si="3"/>
        <v>0</v>
      </c>
      <c r="X44">
        <f t="shared" si="4"/>
        <v>0</v>
      </c>
      <c r="Y44">
        <f t="shared" si="5"/>
        <v>0</v>
      </c>
    </row>
    <row r="45" spans="16:25">
      <c r="P45">
        <f t="shared" si="0"/>
        <v>0</v>
      </c>
      <c r="Q45">
        <f>IF(F45="","",IFERROR(INDEX(场景库!$B:$B,MATCH(F45,场景库!$A:$A,0)),1))</f>
        <v>0</v>
      </c>
      <c r="R45">
        <f>IF(G45="","",IFERROR(INDEX(场景库!$E:$E,MATCH(G45,场景库!$D:$D,0)),1))</f>
        <v>0</v>
      </c>
      <c r="S45">
        <f t="shared" si="1"/>
        <v>0</v>
      </c>
      <c r="T45">
        <f t="shared" si="2"/>
        <v>0</v>
      </c>
      <c r="U45">
        <f t="shared" si="3"/>
        <v>0</v>
      </c>
      <c r="X45">
        <f t="shared" si="4"/>
        <v>0</v>
      </c>
      <c r="Y45">
        <f t="shared" si="5"/>
        <v>0</v>
      </c>
    </row>
    <row r="46" spans="16:25">
      <c r="P46">
        <f t="shared" si="0"/>
        <v>0</v>
      </c>
      <c r="Q46">
        <f>IF(F46="","",IFERROR(INDEX(场景库!$B:$B,MATCH(F46,场景库!$A:$A,0)),1))</f>
        <v>0</v>
      </c>
      <c r="R46">
        <f>IF(G46="","",IFERROR(INDEX(场景库!$E:$E,MATCH(G46,场景库!$D:$D,0)),1))</f>
        <v>0</v>
      </c>
      <c r="S46">
        <f t="shared" si="1"/>
        <v>0</v>
      </c>
      <c r="T46">
        <f t="shared" si="2"/>
        <v>0</v>
      </c>
      <c r="U46">
        <f t="shared" si="3"/>
        <v>0</v>
      </c>
      <c r="X46">
        <f t="shared" si="4"/>
        <v>0</v>
      </c>
      <c r="Y46">
        <f t="shared" si="5"/>
        <v>0</v>
      </c>
    </row>
    <row r="47" spans="16:25">
      <c r="P47">
        <f t="shared" si="0"/>
        <v>0</v>
      </c>
      <c r="Q47">
        <f>IF(F47="","",IFERROR(INDEX(场景库!$B:$B,MATCH(F47,场景库!$A:$A,0)),1))</f>
        <v>0</v>
      </c>
      <c r="R47">
        <f>IF(G47="","",IFERROR(INDEX(场景库!$E:$E,MATCH(G47,场景库!$D:$D,0)),1))</f>
        <v>0</v>
      </c>
      <c r="S47">
        <f t="shared" si="1"/>
        <v>0</v>
      </c>
      <c r="T47">
        <f t="shared" si="2"/>
        <v>0</v>
      </c>
      <c r="U47">
        <f t="shared" si="3"/>
        <v>0</v>
      </c>
      <c r="X47">
        <f t="shared" si="4"/>
        <v>0</v>
      </c>
      <c r="Y47">
        <f t="shared" si="5"/>
        <v>0</v>
      </c>
    </row>
    <row r="48" spans="16:25">
      <c r="P48">
        <f t="shared" si="0"/>
        <v>0</v>
      </c>
      <c r="Q48">
        <f>IF(F48="","",IFERROR(INDEX(场景库!$B:$B,MATCH(F48,场景库!$A:$A,0)),1))</f>
        <v>0</v>
      </c>
      <c r="R48">
        <f>IF(G48="","",IFERROR(INDEX(场景库!$E:$E,MATCH(G48,场景库!$D:$D,0)),1))</f>
        <v>0</v>
      </c>
      <c r="S48">
        <f t="shared" si="1"/>
        <v>0</v>
      </c>
      <c r="T48">
        <f t="shared" si="2"/>
        <v>0</v>
      </c>
      <c r="U48">
        <f t="shared" si="3"/>
        <v>0</v>
      </c>
      <c r="X48">
        <f t="shared" si="4"/>
        <v>0</v>
      </c>
      <c r="Y48">
        <f t="shared" si="5"/>
        <v>0</v>
      </c>
    </row>
    <row r="49" spans="16:25">
      <c r="P49">
        <f t="shared" si="0"/>
        <v>0</v>
      </c>
      <c r="Q49">
        <f>IF(F49="","",IFERROR(INDEX(场景库!$B:$B,MATCH(F49,场景库!$A:$A,0)),1))</f>
        <v>0</v>
      </c>
      <c r="R49">
        <f>IF(G49="","",IFERROR(INDEX(场景库!$E:$E,MATCH(G49,场景库!$D:$D,0)),1))</f>
        <v>0</v>
      </c>
      <c r="S49">
        <f t="shared" si="1"/>
        <v>0</v>
      </c>
      <c r="T49">
        <f t="shared" si="2"/>
        <v>0</v>
      </c>
      <c r="U49">
        <f t="shared" si="3"/>
        <v>0</v>
      </c>
      <c r="X49">
        <f t="shared" si="4"/>
        <v>0</v>
      </c>
      <c r="Y49">
        <f t="shared" si="5"/>
        <v>0</v>
      </c>
    </row>
    <row r="50" spans="16:25">
      <c r="P50">
        <f t="shared" si="0"/>
        <v>0</v>
      </c>
      <c r="Q50">
        <f>IF(F50="","",IFERROR(INDEX(场景库!$B:$B,MATCH(F50,场景库!$A:$A,0)),1))</f>
        <v>0</v>
      </c>
      <c r="R50">
        <f>IF(G50="","",IFERROR(INDEX(场景库!$E:$E,MATCH(G50,场景库!$D:$D,0)),1))</f>
        <v>0</v>
      </c>
      <c r="S50">
        <f t="shared" si="1"/>
        <v>0</v>
      </c>
      <c r="T50">
        <f t="shared" si="2"/>
        <v>0</v>
      </c>
      <c r="U50">
        <f t="shared" si="3"/>
        <v>0</v>
      </c>
      <c r="X50">
        <f t="shared" si="4"/>
        <v>0</v>
      </c>
      <c r="Y50">
        <f t="shared" si="5"/>
        <v>0</v>
      </c>
    </row>
    <row r="51" spans="16:25">
      <c r="P51">
        <f t="shared" si="0"/>
        <v>0</v>
      </c>
      <c r="Q51">
        <f>IF(F51="","",IFERROR(INDEX(场景库!$B:$B,MATCH(F51,场景库!$A:$A,0)),1))</f>
        <v>0</v>
      </c>
      <c r="R51">
        <f>IF(G51="","",IFERROR(INDEX(场景库!$E:$E,MATCH(G51,场景库!$D:$D,0)),1))</f>
        <v>0</v>
      </c>
      <c r="S51">
        <f t="shared" si="1"/>
        <v>0</v>
      </c>
      <c r="T51">
        <f t="shared" si="2"/>
        <v>0</v>
      </c>
      <c r="U51">
        <f t="shared" si="3"/>
        <v>0</v>
      </c>
      <c r="X51">
        <f t="shared" si="4"/>
        <v>0</v>
      </c>
      <c r="Y51">
        <f t="shared" si="5"/>
        <v>0</v>
      </c>
    </row>
    <row r="52" spans="16:25">
      <c r="P52">
        <f t="shared" si="0"/>
        <v>0</v>
      </c>
      <c r="Q52">
        <f>IF(F52="","",IFERROR(INDEX(场景库!$B:$B,MATCH(F52,场景库!$A:$A,0)),1))</f>
        <v>0</v>
      </c>
      <c r="R52">
        <f>IF(G52="","",IFERROR(INDEX(场景库!$E:$E,MATCH(G52,场景库!$D:$D,0)),1))</f>
        <v>0</v>
      </c>
      <c r="S52">
        <f t="shared" si="1"/>
        <v>0</v>
      </c>
      <c r="T52">
        <f t="shared" si="2"/>
        <v>0</v>
      </c>
      <c r="U52">
        <f t="shared" si="3"/>
        <v>0</v>
      </c>
      <c r="X52">
        <f t="shared" si="4"/>
        <v>0</v>
      </c>
      <c r="Y52">
        <f t="shared" si="5"/>
        <v>0</v>
      </c>
    </row>
    <row r="53" spans="16:25">
      <c r="P53">
        <f t="shared" si="0"/>
        <v>0</v>
      </c>
      <c r="Q53">
        <f>IF(F53="","",IFERROR(INDEX(场景库!$B:$B,MATCH(F53,场景库!$A:$A,0)),1))</f>
        <v>0</v>
      </c>
      <c r="R53">
        <f>IF(G53="","",IFERROR(INDEX(场景库!$E:$E,MATCH(G53,场景库!$D:$D,0)),1))</f>
        <v>0</v>
      </c>
      <c r="S53">
        <f t="shared" si="1"/>
        <v>0</v>
      </c>
      <c r="T53">
        <f t="shared" si="2"/>
        <v>0</v>
      </c>
      <c r="U53">
        <f t="shared" si="3"/>
        <v>0</v>
      </c>
      <c r="X53">
        <f t="shared" si="4"/>
        <v>0</v>
      </c>
      <c r="Y53">
        <f t="shared" si="5"/>
        <v>0</v>
      </c>
    </row>
    <row r="54" spans="16:25">
      <c r="P54">
        <f t="shared" si="0"/>
        <v>0</v>
      </c>
      <c r="Q54">
        <f>IF(F54="","",IFERROR(INDEX(场景库!$B:$B,MATCH(F54,场景库!$A:$A,0)),1))</f>
        <v>0</v>
      </c>
      <c r="R54">
        <f>IF(G54="","",IFERROR(INDEX(场景库!$E:$E,MATCH(G54,场景库!$D:$D,0)),1))</f>
        <v>0</v>
      </c>
      <c r="S54">
        <f t="shared" si="1"/>
        <v>0</v>
      </c>
      <c r="T54">
        <f t="shared" si="2"/>
        <v>0</v>
      </c>
      <c r="U54">
        <f t="shared" si="3"/>
        <v>0</v>
      </c>
      <c r="X54">
        <f t="shared" si="4"/>
        <v>0</v>
      </c>
      <c r="Y54">
        <f t="shared" si="5"/>
        <v>0</v>
      </c>
    </row>
    <row r="55" spans="16:25">
      <c r="P55">
        <f t="shared" si="0"/>
        <v>0</v>
      </c>
      <c r="Q55">
        <f>IF(F55="","",IFERROR(INDEX(场景库!$B:$B,MATCH(F55,场景库!$A:$A,0)),1))</f>
        <v>0</v>
      </c>
      <c r="R55">
        <f>IF(G55="","",IFERROR(INDEX(场景库!$E:$E,MATCH(G55,场景库!$D:$D,0)),1))</f>
        <v>0</v>
      </c>
      <c r="S55">
        <f t="shared" si="1"/>
        <v>0</v>
      </c>
      <c r="T55">
        <f t="shared" si="2"/>
        <v>0</v>
      </c>
      <c r="U55">
        <f t="shared" si="3"/>
        <v>0</v>
      </c>
      <c r="X55">
        <f t="shared" si="4"/>
        <v>0</v>
      </c>
      <c r="Y55">
        <f t="shared" si="5"/>
        <v>0</v>
      </c>
    </row>
    <row r="56" spans="16:25">
      <c r="P56">
        <f t="shared" si="0"/>
        <v>0</v>
      </c>
      <c r="Q56">
        <f>IF(F56="","",IFERROR(INDEX(场景库!$B:$B,MATCH(F56,场景库!$A:$A,0)),1))</f>
        <v>0</v>
      </c>
      <c r="R56">
        <f>IF(G56="","",IFERROR(INDEX(场景库!$E:$E,MATCH(G56,场景库!$D:$D,0)),1))</f>
        <v>0</v>
      </c>
      <c r="S56">
        <f t="shared" si="1"/>
        <v>0</v>
      </c>
      <c r="T56">
        <f t="shared" si="2"/>
        <v>0</v>
      </c>
      <c r="U56">
        <f t="shared" si="3"/>
        <v>0</v>
      </c>
      <c r="X56">
        <f t="shared" si="4"/>
        <v>0</v>
      </c>
      <c r="Y56">
        <f t="shared" si="5"/>
        <v>0</v>
      </c>
    </row>
    <row r="57" spans="16:25">
      <c r="P57">
        <f t="shared" si="0"/>
        <v>0</v>
      </c>
      <c r="Q57">
        <f>IF(F57="","",IFERROR(INDEX(场景库!$B:$B,MATCH(F57,场景库!$A:$A,0)),1))</f>
        <v>0</v>
      </c>
      <c r="R57">
        <f>IF(G57="","",IFERROR(INDEX(场景库!$E:$E,MATCH(G57,场景库!$D:$D,0)),1))</f>
        <v>0</v>
      </c>
      <c r="S57">
        <f t="shared" si="1"/>
        <v>0</v>
      </c>
      <c r="T57">
        <f t="shared" si="2"/>
        <v>0</v>
      </c>
      <c r="U57">
        <f t="shared" si="3"/>
        <v>0</v>
      </c>
      <c r="X57">
        <f t="shared" si="4"/>
        <v>0</v>
      </c>
      <c r="Y57">
        <f t="shared" si="5"/>
        <v>0</v>
      </c>
    </row>
    <row r="58" spans="16:25">
      <c r="P58">
        <f t="shared" si="0"/>
        <v>0</v>
      </c>
      <c r="Q58">
        <f>IF(F58="","",IFERROR(INDEX(场景库!$B:$B,MATCH(F58,场景库!$A:$A,0)),1))</f>
        <v>0</v>
      </c>
      <c r="R58">
        <f>IF(G58="","",IFERROR(INDEX(场景库!$E:$E,MATCH(G58,场景库!$D:$D,0)),1))</f>
        <v>0</v>
      </c>
      <c r="S58">
        <f t="shared" si="1"/>
        <v>0</v>
      </c>
      <c r="T58">
        <f t="shared" si="2"/>
        <v>0</v>
      </c>
      <c r="U58">
        <f t="shared" si="3"/>
        <v>0</v>
      </c>
      <c r="X58">
        <f t="shared" si="4"/>
        <v>0</v>
      </c>
      <c r="Y58">
        <f t="shared" si="5"/>
        <v>0</v>
      </c>
    </row>
    <row r="59" spans="16:25">
      <c r="P59">
        <f t="shared" si="0"/>
        <v>0</v>
      </c>
      <c r="Q59">
        <f>IF(F59="","",IFERROR(INDEX(场景库!$B:$B,MATCH(F59,场景库!$A:$A,0)),1))</f>
        <v>0</v>
      </c>
      <c r="R59">
        <f>IF(G59="","",IFERROR(INDEX(场景库!$E:$E,MATCH(G59,场景库!$D:$D,0)),1))</f>
        <v>0</v>
      </c>
      <c r="S59">
        <f t="shared" si="1"/>
        <v>0</v>
      </c>
      <c r="T59">
        <f t="shared" si="2"/>
        <v>0</v>
      </c>
      <c r="U59">
        <f t="shared" si="3"/>
        <v>0</v>
      </c>
      <c r="X59">
        <f t="shared" si="4"/>
        <v>0</v>
      </c>
      <c r="Y59">
        <f t="shared" si="5"/>
        <v>0</v>
      </c>
    </row>
    <row r="60" spans="16:25">
      <c r="P60">
        <f t="shared" si="0"/>
        <v>0</v>
      </c>
      <c r="Q60">
        <f>IF(F60="","",IFERROR(INDEX(场景库!$B:$B,MATCH(F60,场景库!$A:$A,0)),1))</f>
        <v>0</v>
      </c>
      <c r="R60">
        <f>IF(G60="","",IFERROR(INDEX(场景库!$E:$E,MATCH(G60,场景库!$D:$D,0)),1))</f>
        <v>0</v>
      </c>
      <c r="S60">
        <f t="shared" si="1"/>
        <v>0</v>
      </c>
      <c r="T60">
        <f t="shared" si="2"/>
        <v>0</v>
      </c>
      <c r="U60">
        <f t="shared" si="3"/>
        <v>0</v>
      </c>
      <c r="X60">
        <f t="shared" si="4"/>
        <v>0</v>
      </c>
      <c r="Y60">
        <f t="shared" si="5"/>
        <v>0</v>
      </c>
    </row>
    <row r="61" spans="16:25">
      <c r="P61">
        <f t="shared" si="0"/>
        <v>0</v>
      </c>
      <c r="Q61">
        <f>IF(F61="","",IFERROR(INDEX(场景库!$B:$B,MATCH(F61,场景库!$A:$A,0)),1))</f>
        <v>0</v>
      </c>
      <c r="R61">
        <f>IF(G61="","",IFERROR(INDEX(场景库!$E:$E,MATCH(G61,场景库!$D:$D,0)),1))</f>
        <v>0</v>
      </c>
      <c r="S61">
        <f t="shared" si="1"/>
        <v>0</v>
      </c>
      <c r="T61">
        <f t="shared" si="2"/>
        <v>0</v>
      </c>
      <c r="U61">
        <f t="shared" si="3"/>
        <v>0</v>
      </c>
      <c r="X61">
        <f t="shared" si="4"/>
        <v>0</v>
      </c>
      <c r="Y61">
        <f t="shared" si="5"/>
        <v>0</v>
      </c>
    </row>
    <row r="62" spans="16:25">
      <c r="P62">
        <f t="shared" si="0"/>
        <v>0</v>
      </c>
      <c r="Q62">
        <f>IF(F62="","",IFERROR(INDEX(场景库!$B:$B,MATCH(F62,场景库!$A:$A,0)),1))</f>
        <v>0</v>
      </c>
      <c r="R62">
        <f>IF(G62="","",IFERROR(INDEX(场景库!$E:$E,MATCH(G62,场景库!$D:$D,0)),1))</f>
        <v>0</v>
      </c>
      <c r="S62">
        <f t="shared" si="1"/>
        <v>0</v>
      </c>
      <c r="T62">
        <f t="shared" si="2"/>
        <v>0</v>
      </c>
      <c r="U62">
        <f t="shared" si="3"/>
        <v>0</v>
      </c>
      <c r="X62">
        <f t="shared" si="4"/>
        <v>0</v>
      </c>
      <c r="Y62">
        <f t="shared" si="5"/>
        <v>0</v>
      </c>
    </row>
    <row r="63" spans="16:25">
      <c r="P63">
        <f t="shared" si="0"/>
        <v>0</v>
      </c>
      <c r="Q63">
        <f>IF(F63="","",IFERROR(INDEX(场景库!$B:$B,MATCH(F63,场景库!$A:$A,0)),1))</f>
        <v>0</v>
      </c>
      <c r="R63">
        <f>IF(G63="","",IFERROR(INDEX(场景库!$E:$E,MATCH(G63,场景库!$D:$D,0)),1))</f>
        <v>0</v>
      </c>
      <c r="S63">
        <f t="shared" si="1"/>
        <v>0</v>
      </c>
      <c r="T63">
        <f t="shared" si="2"/>
        <v>0</v>
      </c>
      <c r="U63">
        <f t="shared" si="3"/>
        <v>0</v>
      </c>
      <c r="X63">
        <f t="shared" si="4"/>
        <v>0</v>
      </c>
      <c r="Y63">
        <f t="shared" si="5"/>
        <v>0</v>
      </c>
    </row>
    <row r="64" spans="16:25">
      <c r="P64">
        <f t="shared" si="0"/>
        <v>0</v>
      </c>
      <c r="Q64">
        <f>IF(F64="","",IFERROR(INDEX(场景库!$B:$B,MATCH(F64,场景库!$A:$A,0)),1))</f>
        <v>0</v>
      </c>
      <c r="R64">
        <f>IF(G64="","",IFERROR(INDEX(场景库!$E:$E,MATCH(G64,场景库!$D:$D,0)),1))</f>
        <v>0</v>
      </c>
      <c r="S64">
        <f t="shared" si="1"/>
        <v>0</v>
      </c>
      <c r="T64">
        <f t="shared" si="2"/>
        <v>0</v>
      </c>
      <c r="U64">
        <f t="shared" si="3"/>
        <v>0</v>
      </c>
      <c r="X64">
        <f t="shared" si="4"/>
        <v>0</v>
      </c>
      <c r="Y64">
        <f t="shared" si="5"/>
        <v>0</v>
      </c>
    </row>
    <row r="65" spans="16:25">
      <c r="P65">
        <f t="shared" si="0"/>
        <v>0</v>
      </c>
      <c r="Q65">
        <f>IF(F65="","",IFERROR(INDEX(场景库!$B:$B,MATCH(F65,场景库!$A:$A,0)),1))</f>
        <v>0</v>
      </c>
      <c r="R65">
        <f>IF(G65="","",IFERROR(INDEX(场景库!$E:$E,MATCH(G65,场景库!$D:$D,0)),1))</f>
        <v>0</v>
      </c>
      <c r="S65">
        <f t="shared" si="1"/>
        <v>0</v>
      </c>
      <c r="T65">
        <f t="shared" si="2"/>
        <v>0</v>
      </c>
      <c r="U65">
        <f t="shared" si="3"/>
        <v>0</v>
      </c>
      <c r="X65">
        <f t="shared" si="4"/>
        <v>0</v>
      </c>
      <c r="Y65">
        <f t="shared" si="5"/>
        <v>0</v>
      </c>
    </row>
    <row r="66" spans="16:25">
      <c r="P66">
        <f t="shared" ref="P66:P129" si="6">IF(COUNTA(I66:O66)=0,"",ROUND((I66*0.15+J66*0.15+K66*0.25+L66*0.25+O66*0.1+(6-M66)*0.05+(6-N66)*0.05)/5*100,1))</f>
        <v>0</v>
      </c>
      <c r="Q66">
        <f>IF(F66="","",IFERROR(INDEX(场景库!$B:$B,MATCH(F66,场景库!$A:$A,0)),1))</f>
        <v>0</v>
      </c>
      <c r="R66">
        <f>IF(G66="","",IFERROR(INDEX(场景库!$E:$E,MATCH(G66,场景库!$D:$D,0)),1))</f>
        <v>0</v>
      </c>
      <c r="S66">
        <f t="shared" ref="S66:S129" si="7">IF(P66="","",ROUND(MIN(100,P66*Q66*R66),1))</f>
        <v>0</v>
      </c>
      <c r="T66">
        <f t="shared" ref="T66:T129" si="8">IF(S66="","",ROUND(100-S66,1))</f>
        <v>0</v>
      </c>
      <c r="U66">
        <f t="shared" ref="U66:U129" si="9">IF(X66="","",IF(X66&gt;=80,"严重",IF(X66&gt;=60,"高",IF(X66&gt;=40,"中","低"))))</f>
        <v>0</v>
      </c>
      <c r="X66">
        <f t="shared" ref="X66:X129" si="10">IF(S66="","",IF(W66="",S66,W66))</f>
        <v>0</v>
      </c>
      <c r="Y66">
        <f t="shared" ref="Y66:Y129" si="11">IF(X66="","",ROUND(100-X66,1))</f>
        <v>0</v>
      </c>
    </row>
    <row r="67" spans="16:25">
      <c r="P67">
        <f t="shared" si="6"/>
        <v>0</v>
      </c>
      <c r="Q67">
        <f>IF(F67="","",IFERROR(INDEX(场景库!$B:$B,MATCH(F67,场景库!$A:$A,0)),1))</f>
        <v>0</v>
      </c>
      <c r="R67">
        <f>IF(G67="","",IFERROR(INDEX(场景库!$E:$E,MATCH(G67,场景库!$D:$D,0)),1))</f>
        <v>0</v>
      </c>
      <c r="S67">
        <f t="shared" si="7"/>
        <v>0</v>
      </c>
      <c r="T67">
        <f t="shared" si="8"/>
        <v>0</v>
      </c>
      <c r="U67">
        <f t="shared" si="9"/>
        <v>0</v>
      </c>
      <c r="X67">
        <f t="shared" si="10"/>
        <v>0</v>
      </c>
      <c r="Y67">
        <f t="shared" si="11"/>
        <v>0</v>
      </c>
    </row>
    <row r="68" spans="16:25">
      <c r="P68">
        <f t="shared" si="6"/>
        <v>0</v>
      </c>
      <c r="Q68">
        <f>IF(F68="","",IFERROR(INDEX(场景库!$B:$B,MATCH(F68,场景库!$A:$A,0)),1))</f>
        <v>0</v>
      </c>
      <c r="R68">
        <f>IF(G68="","",IFERROR(INDEX(场景库!$E:$E,MATCH(G68,场景库!$D:$D,0)),1))</f>
        <v>0</v>
      </c>
      <c r="S68">
        <f t="shared" si="7"/>
        <v>0</v>
      </c>
      <c r="T68">
        <f t="shared" si="8"/>
        <v>0</v>
      </c>
      <c r="U68">
        <f t="shared" si="9"/>
        <v>0</v>
      </c>
      <c r="X68">
        <f t="shared" si="10"/>
        <v>0</v>
      </c>
      <c r="Y68">
        <f t="shared" si="11"/>
        <v>0</v>
      </c>
    </row>
    <row r="69" spans="16:25">
      <c r="P69">
        <f t="shared" si="6"/>
        <v>0</v>
      </c>
      <c r="Q69">
        <f>IF(F69="","",IFERROR(INDEX(场景库!$B:$B,MATCH(F69,场景库!$A:$A,0)),1))</f>
        <v>0</v>
      </c>
      <c r="R69">
        <f>IF(G69="","",IFERROR(INDEX(场景库!$E:$E,MATCH(G69,场景库!$D:$D,0)),1))</f>
        <v>0</v>
      </c>
      <c r="S69">
        <f t="shared" si="7"/>
        <v>0</v>
      </c>
      <c r="T69">
        <f t="shared" si="8"/>
        <v>0</v>
      </c>
      <c r="U69">
        <f t="shared" si="9"/>
        <v>0</v>
      </c>
      <c r="X69">
        <f t="shared" si="10"/>
        <v>0</v>
      </c>
      <c r="Y69">
        <f t="shared" si="11"/>
        <v>0</v>
      </c>
    </row>
    <row r="70" spans="16:25">
      <c r="P70">
        <f t="shared" si="6"/>
        <v>0</v>
      </c>
      <c r="Q70">
        <f>IF(F70="","",IFERROR(INDEX(场景库!$B:$B,MATCH(F70,场景库!$A:$A,0)),1))</f>
        <v>0</v>
      </c>
      <c r="R70">
        <f>IF(G70="","",IFERROR(INDEX(场景库!$E:$E,MATCH(G70,场景库!$D:$D,0)),1))</f>
        <v>0</v>
      </c>
      <c r="S70">
        <f t="shared" si="7"/>
        <v>0</v>
      </c>
      <c r="T70">
        <f t="shared" si="8"/>
        <v>0</v>
      </c>
      <c r="U70">
        <f t="shared" si="9"/>
        <v>0</v>
      </c>
      <c r="X70">
        <f t="shared" si="10"/>
        <v>0</v>
      </c>
      <c r="Y70">
        <f t="shared" si="11"/>
        <v>0</v>
      </c>
    </row>
    <row r="71" spans="16:25">
      <c r="P71">
        <f t="shared" si="6"/>
        <v>0</v>
      </c>
      <c r="Q71">
        <f>IF(F71="","",IFERROR(INDEX(场景库!$B:$B,MATCH(F71,场景库!$A:$A,0)),1))</f>
        <v>0</v>
      </c>
      <c r="R71">
        <f>IF(G71="","",IFERROR(INDEX(场景库!$E:$E,MATCH(G71,场景库!$D:$D,0)),1))</f>
        <v>0</v>
      </c>
      <c r="S71">
        <f t="shared" si="7"/>
        <v>0</v>
      </c>
      <c r="T71">
        <f t="shared" si="8"/>
        <v>0</v>
      </c>
      <c r="U71">
        <f t="shared" si="9"/>
        <v>0</v>
      </c>
      <c r="X71">
        <f t="shared" si="10"/>
        <v>0</v>
      </c>
      <c r="Y71">
        <f t="shared" si="11"/>
        <v>0</v>
      </c>
    </row>
    <row r="72" spans="16:25">
      <c r="P72">
        <f t="shared" si="6"/>
        <v>0</v>
      </c>
      <c r="Q72">
        <f>IF(F72="","",IFERROR(INDEX(场景库!$B:$B,MATCH(F72,场景库!$A:$A,0)),1))</f>
        <v>0</v>
      </c>
      <c r="R72">
        <f>IF(G72="","",IFERROR(INDEX(场景库!$E:$E,MATCH(G72,场景库!$D:$D,0)),1))</f>
        <v>0</v>
      </c>
      <c r="S72">
        <f t="shared" si="7"/>
        <v>0</v>
      </c>
      <c r="T72">
        <f t="shared" si="8"/>
        <v>0</v>
      </c>
      <c r="U72">
        <f t="shared" si="9"/>
        <v>0</v>
      </c>
      <c r="X72">
        <f t="shared" si="10"/>
        <v>0</v>
      </c>
      <c r="Y72">
        <f t="shared" si="11"/>
        <v>0</v>
      </c>
    </row>
    <row r="73" spans="16:25">
      <c r="P73">
        <f t="shared" si="6"/>
        <v>0</v>
      </c>
      <c r="Q73">
        <f>IF(F73="","",IFERROR(INDEX(场景库!$B:$B,MATCH(F73,场景库!$A:$A,0)),1))</f>
        <v>0</v>
      </c>
      <c r="R73">
        <f>IF(G73="","",IFERROR(INDEX(场景库!$E:$E,MATCH(G73,场景库!$D:$D,0)),1))</f>
        <v>0</v>
      </c>
      <c r="S73">
        <f t="shared" si="7"/>
        <v>0</v>
      </c>
      <c r="T73">
        <f t="shared" si="8"/>
        <v>0</v>
      </c>
      <c r="U73">
        <f t="shared" si="9"/>
        <v>0</v>
      </c>
      <c r="X73">
        <f t="shared" si="10"/>
        <v>0</v>
      </c>
      <c r="Y73">
        <f t="shared" si="11"/>
        <v>0</v>
      </c>
    </row>
    <row r="74" spans="16:25">
      <c r="P74">
        <f t="shared" si="6"/>
        <v>0</v>
      </c>
      <c r="Q74">
        <f>IF(F74="","",IFERROR(INDEX(场景库!$B:$B,MATCH(F74,场景库!$A:$A,0)),1))</f>
        <v>0</v>
      </c>
      <c r="R74">
        <f>IF(G74="","",IFERROR(INDEX(场景库!$E:$E,MATCH(G74,场景库!$D:$D,0)),1))</f>
        <v>0</v>
      </c>
      <c r="S74">
        <f t="shared" si="7"/>
        <v>0</v>
      </c>
      <c r="T74">
        <f t="shared" si="8"/>
        <v>0</v>
      </c>
      <c r="U74">
        <f t="shared" si="9"/>
        <v>0</v>
      </c>
      <c r="X74">
        <f t="shared" si="10"/>
        <v>0</v>
      </c>
      <c r="Y74">
        <f t="shared" si="11"/>
        <v>0</v>
      </c>
    </row>
    <row r="75" spans="16:25">
      <c r="P75">
        <f t="shared" si="6"/>
        <v>0</v>
      </c>
      <c r="Q75">
        <f>IF(F75="","",IFERROR(INDEX(场景库!$B:$B,MATCH(F75,场景库!$A:$A,0)),1))</f>
        <v>0</v>
      </c>
      <c r="R75">
        <f>IF(G75="","",IFERROR(INDEX(场景库!$E:$E,MATCH(G75,场景库!$D:$D,0)),1))</f>
        <v>0</v>
      </c>
      <c r="S75">
        <f t="shared" si="7"/>
        <v>0</v>
      </c>
      <c r="T75">
        <f t="shared" si="8"/>
        <v>0</v>
      </c>
      <c r="U75">
        <f t="shared" si="9"/>
        <v>0</v>
      </c>
      <c r="X75">
        <f t="shared" si="10"/>
        <v>0</v>
      </c>
      <c r="Y75">
        <f t="shared" si="11"/>
        <v>0</v>
      </c>
    </row>
    <row r="76" spans="16:25">
      <c r="P76">
        <f t="shared" si="6"/>
        <v>0</v>
      </c>
      <c r="Q76">
        <f>IF(F76="","",IFERROR(INDEX(场景库!$B:$B,MATCH(F76,场景库!$A:$A,0)),1))</f>
        <v>0</v>
      </c>
      <c r="R76">
        <f>IF(G76="","",IFERROR(INDEX(场景库!$E:$E,MATCH(G76,场景库!$D:$D,0)),1))</f>
        <v>0</v>
      </c>
      <c r="S76">
        <f t="shared" si="7"/>
        <v>0</v>
      </c>
      <c r="T76">
        <f t="shared" si="8"/>
        <v>0</v>
      </c>
      <c r="U76">
        <f t="shared" si="9"/>
        <v>0</v>
      </c>
      <c r="X76">
        <f t="shared" si="10"/>
        <v>0</v>
      </c>
      <c r="Y76">
        <f t="shared" si="11"/>
        <v>0</v>
      </c>
    </row>
    <row r="77" spans="16:25">
      <c r="P77">
        <f t="shared" si="6"/>
        <v>0</v>
      </c>
      <c r="Q77">
        <f>IF(F77="","",IFERROR(INDEX(场景库!$B:$B,MATCH(F77,场景库!$A:$A,0)),1))</f>
        <v>0</v>
      </c>
      <c r="R77">
        <f>IF(G77="","",IFERROR(INDEX(场景库!$E:$E,MATCH(G77,场景库!$D:$D,0)),1))</f>
        <v>0</v>
      </c>
      <c r="S77">
        <f t="shared" si="7"/>
        <v>0</v>
      </c>
      <c r="T77">
        <f t="shared" si="8"/>
        <v>0</v>
      </c>
      <c r="U77">
        <f t="shared" si="9"/>
        <v>0</v>
      </c>
      <c r="X77">
        <f t="shared" si="10"/>
        <v>0</v>
      </c>
      <c r="Y77">
        <f t="shared" si="11"/>
        <v>0</v>
      </c>
    </row>
    <row r="78" spans="16:25">
      <c r="P78">
        <f t="shared" si="6"/>
        <v>0</v>
      </c>
      <c r="Q78">
        <f>IF(F78="","",IFERROR(INDEX(场景库!$B:$B,MATCH(F78,场景库!$A:$A,0)),1))</f>
        <v>0</v>
      </c>
      <c r="R78">
        <f>IF(G78="","",IFERROR(INDEX(场景库!$E:$E,MATCH(G78,场景库!$D:$D,0)),1))</f>
        <v>0</v>
      </c>
      <c r="S78">
        <f t="shared" si="7"/>
        <v>0</v>
      </c>
      <c r="T78">
        <f t="shared" si="8"/>
        <v>0</v>
      </c>
      <c r="U78">
        <f t="shared" si="9"/>
        <v>0</v>
      </c>
      <c r="X78">
        <f t="shared" si="10"/>
        <v>0</v>
      </c>
      <c r="Y78">
        <f t="shared" si="11"/>
        <v>0</v>
      </c>
    </row>
    <row r="79" spans="16:25">
      <c r="P79">
        <f t="shared" si="6"/>
        <v>0</v>
      </c>
      <c r="Q79">
        <f>IF(F79="","",IFERROR(INDEX(场景库!$B:$B,MATCH(F79,场景库!$A:$A,0)),1))</f>
        <v>0</v>
      </c>
      <c r="R79">
        <f>IF(G79="","",IFERROR(INDEX(场景库!$E:$E,MATCH(G79,场景库!$D:$D,0)),1))</f>
        <v>0</v>
      </c>
      <c r="S79">
        <f t="shared" si="7"/>
        <v>0</v>
      </c>
      <c r="T79">
        <f t="shared" si="8"/>
        <v>0</v>
      </c>
      <c r="U79">
        <f t="shared" si="9"/>
        <v>0</v>
      </c>
      <c r="X79">
        <f t="shared" si="10"/>
        <v>0</v>
      </c>
      <c r="Y79">
        <f t="shared" si="11"/>
        <v>0</v>
      </c>
    </row>
    <row r="80" spans="16:25">
      <c r="P80">
        <f t="shared" si="6"/>
        <v>0</v>
      </c>
      <c r="Q80">
        <f>IF(F80="","",IFERROR(INDEX(场景库!$B:$B,MATCH(F80,场景库!$A:$A,0)),1))</f>
        <v>0</v>
      </c>
      <c r="R80">
        <f>IF(G80="","",IFERROR(INDEX(场景库!$E:$E,MATCH(G80,场景库!$D:$D,0)),1))</f>
        <v>0</v>
      </c>
      <c r="S80">
        <f t="shared" si="7"/>
        <v>0</v>
      </c>
      <c r="T80">
        <f t="shared" si="8"/>
        <v>0</v>
      </c>
      <c r="U80">
        <f t="shared" si="9"/>
        <v>0</v>
      </c>
      <c r="X80">
        <f t="shared" si="10"/>
        <v>0</v>
      </c>
      <c r="Y80">
        <f t="shared" si="11"/>
        <v>0</v>
      </c>
    </row>
    <row r="81" spans="16:25">
      <c r="P81">
        <f t="shared" si="6"/>
        <v>0</v>
      </c>
      <c r="Q81">
        <f>IF(F81="","",IFERROR(INDEX(场景库!$B:$B,MATCH(F81,场景库!$A:$A,0)),1))</f>
        <v>0</v>
      </c>
      <c r="R81">
        <f>IF(G81="","",IFERROR(INDEX(场景库!$E:$E,MATCH(G81,场景库!$D:$D,0)),1))</f>
        <v>0</v>
      </c>
      <c r="S81">
        <f t="shared" si="7"/>
        <v>0</v>
      </c>
      <c r="T81">
        <f t="shared" si="8"/>
        <v>0</v>
      </c>
      <c r="U81">
        <f t="shared" si="9"/>
        <v>0</v>
      </c>
      <c r="X81">
        <f t="shared" si="10"/>
        <v>0</v>
      </c>
      <c r="Y81">
        <f t="shared" si="11"/>
        <v>0</v>
      </c>
    </row>
    <row r="82" spans="16:25">
      <c r="P82">
        <f t="shared" si="6"/>
        <v>0</v>
      </c>
      <c r="Q82">
        <f>IF(F82="","",IFERROR(INDEX(场景库!$B:$B,MATCH(F82,场景库!$A:$A,0)),1))</f>
        <v>0</v>
      </c>
      <c r="R82">
        <f>IF(G82="","",IFERROR(INDEX(场景库!$E:$E,MATCH(G82,场景库!$D:$D,0)),1))</f>
        <v>0</v>
      </c>
      <c r="S82">
        <f t="shared" si="7"/>
        <v>0</v>
      </c>
      <c r="T82">
        <f t="shared" si="8"/>
        <v>0</v>
      </c>
      <c r="U82">
        <f t="shared" si="9"/>
        <v>0</v>
      </c>
      <c r="X82">
        <f t="shared" si="10"/>
        <v>0</v>
      </c>
      <c r="Y82">
        <f t="shared" si="11"/>
        <v>0</v>
      </c>
    </row>
    <row r="83" spans="16:25">
      <c r="P83">
        <f t="shared" si="6"/>
        <v>0</v>
      </c>
      <c r="Q83">
        <f>IF(F83="","",IFERROR(INDEX(场景库!$B:$B,MATCH(F83,场景库!$A:$A,0)),1))</f>
        <v>0</v>
      </c>
      <c r="R83">
        <f>IF(G83="","",IFERROR(INDEX(场景库!$E:$E,MATCH(G83,场景库!$D:$D,0)),1))</f>
        <v>0</v>
      </c>
      <c r="S83">
        <f t="shared" si="7"/>
        <v>0</v>
      </c>
      <c r="T83">
        <f t="shared" si="8"/>
        <v>0</v>
      </c>
      <c r="U83">
        <f t="shared" si="9"/>
        <v>0</v>
      </c>
      <c r="X83">
        <f t="shared" si="10"/>
        <v>0</v>
      </c>
      <c r="Y83">
        <f t="shared" si="11"/>
        <v>0</v>
      </c>
    </row>
    <row r="84" spans="16:25">
      <c r="P84">
        <f t="shared" si="6"/>
        <v>0</v>
      </c>
      <c r="Q84">
        <f>IF(F84="","",IFERROR(INDEX(场景库!$B:$B,MATCH(F84,场景库!$A:$A,0)),1))</f>
        <v>0</v>
      </c>
      <c r="R84">
        <f>IF(G84="","",IFERROR(INDEX(场景库!$E:$E,MATCH(G84,场景库!$D:$D,0)),1))</f>
        <v>0</v>
      </c>
      <c r="S84">
        <f t="shared" si="7"/>
        <v>0</v>
      </c>
      <c r="T84">
        <f t="shared" si="8"/>
        <v>0</v>
      </c>
      <c r="U84">
        <f t="shared" si="9"/>
        <v>0</v>
      </c>
      <c r="X84">
        <f t="shared" si="10"/>
        <v>0</v>
      </c>
      <c r="Y84">
        <f t="shared" si="11"/>
        <v>0</v>
      </c>
    </row>
    <row r="85" spans="16:25">
      <c r="P85">
        <f t="shared" si="6"/>
        <v>0</v>
      </c>
      <c r="Q85">
        <f>IF(F85="","",IFERROR(INDEX(场景库!$B:$B,MATCH(F85,场景库!$A:$A,0)),1))</f>
        <v>0</v>
      </c>
      <c r="R85">
        <f>IF(G85="","",IFERROR(INDEX(场景库!$E:$E,MATCH(G85,场景库!$D:$D,0)),1))</f>
        <v>0</v>
      </c>
      <c r="S85">
        <f t="shared" si="7"/>
        <v>0</v>
      </c>
      <c r="T85">
        <f t="shared" si="8"/>
        <v>0</v>
      </c>
      <c r="U85">
        <f t="shared" si="9"/>
        <v>0</v>
      </c>
      <c r="X85">
        <f t="shared" si="10"/>
        <v>0</v>
      </c>
      <c r="Y85">
        <f t="shared" si="11"/>
        <v>0</v>
      </c>
    </row>
    <row r="86" spans="16:25">
      <c r="P86">
        <f t="shared" si="6"/>
        <v>0</v>
      </c>
      <c r="Q86">
        <f>IF(F86="","",IFERROR(INDEX(场景库!$B:$B,MATCH(F86,场景库!$A:$A,0)),1))</f>
        <v>0</v>
      </c>
      <c r="R86">
        <f>IF(G86="","",IFERROR(INDEX(场景库!$E:$E,MATCH(G86,场景库!$D:$D,0)),1))</f>
        <v>0</v>
      </c>
      <c r="S86">
        <f t="shared" si="7"/>
        <v>0</v>
      </c>
      <c r="T86">
        <f t="shared" si="8"/>
        <v>0</v>
      </c>
      <c r="U86">
        <f t="shared" si="9"/>
        <v>0</v>
      </c>
      <c r="X86">
        <f t="shared" si="10"/>
        <v>0</v>
      </c>
      <c r="Y86">
        <f t="shared" si="11"/>
        <v>0</v>
      </c>
    </row>
    <row r="87" spans="16:25">
      <c r="P87">
        <f t="shared" si="6"/>
        <v>0</v>
      </c>
      <c r="Q87">
        <f>IF(F87="","",IFERROR(INDEX(场景库!$B:$B,MATCH(F87,场景库!$A:$A,0)),1))</f>
        <v>0</v>
      </c>
      <c r="R87">
        <f>IF(G87="","",IFERROR(INDEX(场景库!$E:$E,MATCH(G87,场景库!$D:$D,0)),1))</f>
        <v>0</v>
      </c>
      <c r="S87">
        <f t="shared" si="7"/>
        <v>0</v>
      </c>
      <c r="T87">
        <f t="shared" si="8"/>
        <v>0</v>
      </c>
      <c r="U87">
        <f t="shared" si="9"/>
        <v>0</v>
      </c>
      <c r="X87">
        <f t="shared" si="10"/>
        <v>0</v>
      </c>
      <c r="Y87">
        <f t="shared" si="11"/>
        <v>0</v>
      </c>
    </row>
    <row r="88" spans="16:25">
      <c r="P88">
        <f t="shared" si="6"/>
        <v>0</v>
      </c>
      <c r="Q88">
        <f>IF(F88="","",IFERROR(INDEX(场景库!$B:$B,MATCH(F88,场景库!$A:$A,0)),1))</f>
        <v>0</v>
      </c>
      <c r="R88">
        <f>IF(G88="","",IFERROR(INDEX(场景库!$E:$E,MATCH(G88,场景库!$D:$D,0)),1))</f>
        <v>0</v>
      </c>
      <c r="S88">
        <f t="shared" si="7"/>
        <v>0</v>
      </c>
      <c r="T88">
        <f t="shared" si="8"/>
        <v>0</v>
      </c>
      <c r="U88">
        <f t="shared" si="9"/>
        <v>0</v>
      </c>
      <c r="X88">
        <f t="shared" si="10"/>
        <v>0</v>
      </c>
      <c r="Y88">
        <f t="shared" si="11"/>
        <v>0</v>
      </c>
    </row>
    <row r="89" spans="16:25">
      <c r="P89">
        <f t="shared" si="6"/>
        <v>0</v>
      </c>
      <c r="Q89">
        <f>IF(F89="","",IFERROR(INDEX(场景库!$B:$B,MATCH(F89,场景库!$A:$A,0)),1))</f>
        <v>0</v>
      </c>
      <c r="R89">
        <f>IF(G89="","",IFERROR(INDEX(场景库!$E:$E,MATCH(G89,场景库!$D:$D,0)),1))</f>
        <v>0</v>
      </c>
      <c r="S89">
        <f t="shared" si="7"/>
        <v>0</v>
      </c>
      <c r="T89">
        <f t="shared" si="8"/>
        <v>0</v>
      </c>
      <c r="U89">
        <f t="shared" si="9"/>
        <v>0</v>
      </c>
      <c r="X89">
        <f t="shared" si="10"/>
        <v>0</v>
      </c>
      <c r="Y89">
        <f t="shared" si="11"/>
        <v>0</v>
      </c>
    </row>
    <row r="90" spans="16:25">
      <c r="P90">
        <f t="shared" si="6"/>
        <v>0</v>
      </c>
      <c r="Q90">
        <f>IF(F90="","",IFERROR(INDEX(场景库!$B:$B,MATCH(F90,场景库!$A:$A,0)),1))</f>
        <v>0</v>
      </c>
      <c r="R90">
        <f>IF(G90="","",IFERROR(INDEX(场景库!$E:$E,MATCH(G90,场景库!$D:$D,0)),1))</f>
        <v>0</v>
      </c>
      <c r="S90">
        <f t="shared" si="7"/>
        <v>0</v>
      </c>
      <c r="T90">
        <f t="shared" si="8"/>
        <v>0</v>
      </c>
      <c r="U90">
        <f t="shared" si="9"/>
        <v>0</v>
      </c>
      <c r="X90">
        <f t="shared" si="10"/>
        <v>0</v>
      </c>
      <c r="Y90">
        <f t="shared" si="11"/>
        <v>0</v>
      </c>
    </row>
    <row r="91" spans="16:25">
      <c r="P91">
        <f t="shared" si="6"/>
        <v>0</v>
      </c>
      <c r="Q91">
        <f>IF(F91="","",IFERROR(INDEX(场景库!$B:$B,MATCH(F91,场景库!$A:$A,0)),1))</f>
        <v>0</v>
      </c>
      <c r="R91">
        <f>IF(G91="","",IFERROR(INDEX(场景库!$E:$E,MATCH(G91,场景库!$D:$D,0)),1))</f>
        <v>0</v>
      </c>
      <c r="S91">
        <f t="shared" si="7"/>
        <v>0</v>
      </c>
      <c r="T91">
        <f t="shared" si="8"/>
        <v>0</v>
      </c>
      <c r="U91">
        <f t="shared" si="9"/>
        <v>0</v>
      </c>
      <c r="X91">
        <f t="shared" si="10"/>
        <v>0</v>
      </c>
      <c r="Y91">
        <f t="shared" si="11"/>
        <v>0</v>
      </c>
    </row>
    <row r="92" spans="16:25">
      <c r="P92">
        <f t="shared" si="6"/>
        <v>0</v>
      </c>
      <c r="Q92">
        <f>IF(F92="","",IFERROR(INDEX(场景库!$B:$B,MATCH(F92,场景库!$A:$A,0)),1))</f>
        <v>0</v>
      </c>
      <c r="R92">
        <f>IF(G92="","",IFERROR(INDEX(场景库!$E:$E,MATCH(G92,场景库!$D:$D,0)),1))</f>
        <v>0</v>
      </c>
      <c r="S92">
        <f t="shared" si="7"/>
        <v>0</v>
      </c>
      <c r="T92">
        <f t="shared" si="8"/>
        <v>0</v>
      </c>
      <c r="U92">
        <f t="shared" si="9"/>
        <v>0</v>
      </c>
      <c r="X92">
        <f t="shared" si="10"/>
        <v>0</v>
      </c>
      <c r="Y92">
        <f t="shared" si="11"/>
        <v>0</v>
      </c>
    </row>
    <row r="93" spans="16:25">
      <c r="P93">
        <f t="shared" si="6"/>
        <v>0</v>
      </c>
      <c r="Q93">
        <f>IF(F93="","",IFERROR(INDEX(场景库!$B:$B,MATCH(F93,场景库!$A:$A,0)),1))</f>
        <v>0</v>
      </c>
      <c r="R93">
        <f>IF(G93="","",IFERROR(INDEX(场景库!$E:$E,MATCH(G93,场景库!$D:$D,0)),1))</f>
        <v>0</v>
      </c>
      <c r="S93">
        <f t="shared" si="7"/>
        <v>0</v>
      </c>
      <c r="T93">
        <f t="shared" si="8"/>
        <v>0</v>
      </c>
      <c r="U93">
        <f t="shared" si="9"/>
        <v>0</v>
      </c>
      <c r="X93">
        <f t="shared" si="10"/>
        <v>0</v>
      </c>
      <c r="Y93">
        <f t="shared" si="11"/>
        <v>0</v>
      </c>
    </row>
    <row r="94" spans="16:25">
      <c r="P94">
        <f t="shared" si="6"/>
        <v>0</v>
      </c>
      <c r="Q94">
        <f>IF(F94="","",IFERROR(INDEX(场景库!$B:$B,MATCH(F94,场景库!$A:$A,0)),1))</f>
        <v>0</v>
      </c>
      <c r="R94">
        <f>IF(G94="","",IFERROR(INDEX(场景库!$E:$E,MATCH(G94,场景库!$D:$D,0)),1))</f>
        <v>0</v>
      </c>
      <c r="S94">
        <f t="shared" si="7"/>
        <v>0</v>
      </c>
      <c r="T94">
        <f t="shared" si="8"/>
        <v>0</v>
      </c>
      <c r="U94">
        <f t="shared" si="9"/>
        <v>0</v>
      </c>
      <c r="X94">
        <f t="shared" si="10"/>
        <v>0</v>
      </c>
      <c r="Y94">
        <f t="shared" si="11"/>
        <v>0</v>
      </c>
    </row>
    <row r="95" spans="16:25">
      <c r="P95">
        <f t="shared" si="6"/>
        <v>0</v>
      </c>
      <c r="Q95">
        <f>IF(F95="","",IFERROR(INDEX(场景库!$B:$B,MATCH(F95,场景库!$A:$A,0)),1))</f>
        <v>0</v>
      </c>
      <c r="R95">
        <f>IF(G95="","",IFERROR(INDEX(场景库!$E:$E,MATCH(G95,场景库!$D:$D,0)),1))</f>
        <v>0</v>
      </c>
      <c r="S95">
        <f t="shared" si="7"/>
        <v>0</v>
      </c>
      <c r="T95">
        <f t="shared" si="8"/>
        <v>0</v>
      </c>
      <c r="U95">
        <f t="shared" si="9"/>
        <v>0</v>
      </c>
      <c r="X95">
        <f t="shared" si="10"/>
        <v>0</v>
      </c>
      <c r="Y95">
        <f t="shared" si="11"/>
        <v>0</v>
      </c>
    </row>
    <row r="96" spans="16:25">
      <c r="P96">
        <f t="shared" si="6"/>
        <v>0</v>
      </c>
      <c r="Q96">
        <f>IF(F96="","",IFERROR(INDEX(场景库!$B:$B,MATCH(F96,场景库!$A:$A,0)),1))</f>
        <v>0</v>
      </c>
      <c r="R96">
        <f>IF(G96="","",IFERROR(INDEX(场景库!$E:$E,MATCH(G96,场景库!$D:$D,0)),1))</f>
        <v>0</v>
      </c>
      <c r="S96">
        <f t="shared" si="7"/>
        <v>0</v>
      </c>
      <c r="T96">
        <f t="shared" si="8"/>
        <v>0</v>
      </c>
      <c r="U96">
        <f t="shared" si="9"/>
        <v>0</v>
      </c>
      <c r="X96">
        <f t="shared" si="10"/>
        <v>0</v>
      </c>
      <c r="Y96">
        <f t="shared" si="11"/>
        <v>0</v>
      </c>
    </row>
    <row r="97" spans="16:25">
      <c r="P97">
        <f t="shared" si="6"/>
        <v>0</v>
      </c>
      <c r="Q97">
        <f>IF(F97="","",IFERROR(INDEX(场景库!$B:$B,MATCH(F97,场景库!$A:$A,0)),1))</f>
        <v>0</v>
      </c>
      <c r="R97">
        <f>IF(G97="","",IFERROR(INDEX(场景库!$E:$E,MATCH(G97,场景库!$D:$D,0)),1))</f>
        <v>0</v>
      </c>
      <c r="S97">
        <f t="shared" si="7"/>
        <v>0</v>
      </c>
      <c r="T97">
        <f t="shared" si="8"/>
        <v>0</v>
      </c>
      <c r="U97">
        <f t="shared" si="9"/>
        <v>0</v>
      </c>
      <c r="X97">
        <f t="shared" si="10"/>
        <v>0</v>
      </c>
      <c r="Y97">
        <f t="shared" si="11"/>
        <v>0</v>
      </c>
    </row>
    <row r="98" spans="16:25">
      <c r="P98">
        <f t="shared" si="6"/>
        <v>0</v>
      </c>
      <c r="Q98">
        <f>IF(F98="","",IFERROR(INDEX(场景库!$B:$B,MATCH(F98,场景库!$A:$A,0)),1))</f>
        <v>0</v>
      </c>
      <c r="R98">
        <f>IF(G98="","",IFERROR(INDEX(场景库!$E:$E,MATCH(G98,场景库!$D:$D,0)),1))</f>
        <v>0</v>
      </c>
      <c r="S98">
        <f t="shared" si="7"/>
        <v>0</v>
      </c>
      <c r="T98">
        <f t="shared" si="8"/>
        <v>0</v>
      </c>
      <c r="U98">
        <f t="shared" si="9"/>
        <v>0</v>
      </c>
      <c r="X98">
        <f t="shared" si="10"/>
        <v>0</v>
      </c>
      <c r="Y98">
        <f t="shared" si="11"/>
        <v>0</v>
      </c>
    </row>
    <row r="99" spans="16:25">
      <c r="P99">
        <f t="shared" si="6"/>
        <v>0</v>
      </c>
      <c r="Q99">
        <f>IF(F99="","",IFERROR(INDEX(场景库!$B:$B,MATCH(F99,场景库!$A:$A,0)),1))</f>
        <v>0</v>
      </c>
      <c r="R99">
        <f>IF(G99="","",IFERROR(INDEX(场景库!$E:$E,MATCH(G99,场景库!$D:$D,0)),1))</f>
        <v>0</v>
      </c>
      <c r="S99">
        <f t="shared" si="7"/>
        <v>0</v>
      </c>
      <c r="T99">
        <f t="shared" si="8"/>
        <v>0</v>
      </c>
      <c r="U99">
        <f t="shared" si="9"/>
        <v>0</v>
      </c>
      <c r="X99">
        <f t="shared" si="10"/>
        <v>0</v>
      </c>
      <c r="Y99">
        <f t="shared" si="11"/>
        <v>0</v>
      </c>
    </row>
    <row r="100" spans="16:25">
      <c r="P100">
        <f t="shared" si="6"/>
        <v>0</v>
      </c>
      <c r="Q100">
        <f>IF(F100="","",IFERROR(INDEX(场景库!$B:$B,MATCH(F100,场景库!$A:$A,0)),1))</f>
        <v>0</v>
      </c>
      <c r="R100">
        <f>IF(G100="","",IFERROR(INDEX(场景库!$E:$E,MATCH(G100,场景库!$D:$D,0)),1))</f>
        <v>0</v>
      </c>
      <c r="S100">
        <f t="shared" si="7"/>
        <v>0</v>
      </c>
      <c r="T100">
        <f t="shared" si="8"/>
        <v>0</v>
      </c>
      <c r="U100">
        <f t="shared" si="9"/>
        <v>0</v>
      </c>
      <c r="X100">
        <f t="shared" si="10"/>
        <v>0</v>
      </c>
      <c r="Y100">
        <f t="shared" si="11"/>
        <v>0</v>
      </c>
    </row>
    <row r="101" spans="16:25">
      <c r="P101">
        <f t="shared" si="6"/>
        <v>0</v>
      </c>
      <c r="Q101">
        <f>IF(F101="","",IFERROR(INDEX(场景库!$B:$B,MATCH(F101,场景库!$A:$A,0)),1))</f>
        <v>0</v>
      </c>
      <c r="R101">
        <f>IF(G101="","",IFERROR(INDEX(场景库!$E:$E,MATCH(G101,场景库!$D:$D,0)),1))</f>
        <v>0</v>
      </c>
      <c r="S101">
        <f t="shared" si="7"/>
        <v>0</v>
      </c>
      <c r="T101">
        <f t="shared" si="8"/>
        <v>0</v>
      </c>
      <c r="U101">
        <f t="shared" si="9"/>
        <v>0</v>
      </c>
      <c r="X101">
        <f t="shared" si="10"/>
        <v>0</v>
      </c>
      <c r="Y101">
        <f t="shared" si="11"/>
        <v>0</v>
      </c>
    </row>
    <row r="102" spans="16:25">
      <c r="P102">
        <f t="shared" si="6"/>
        <v>0</v>
      </c>
      <c r="Q102">
        <f>IF(F102="","",IFERROR(INDEX(场景库!$B:$B,MATCH(F102,场景库!$A:$A,0)),1))</f>
        <v>0</v>
      </c>
      <c r="R102">
        <f>IF(G102="","",IFERROR(INDEX(场景库!$E:$E,MATCH(G102,场景库!$D:$D,0)),1))</f>
        <v>0</v>
      </c>
      <c r="S102">
        <f t="shared" si="7"/>
        <v>0</v>
      </c>
      <c r="T102">
        <f t="shared" si="8"/>
        <v>0</v>
      </c>
      <c r="U102">
        <f t="shared" si="9"/>
        <v>0</v>
      </c>
      <c r="X102">
        <f t="shared" si="10"/>
        <v>0</v>
      </c>
      <c r="Y102">
        <f t="shared" si="11"/>
        <v>0</v>
      </c>
    </row>
    <row r="103" spans="16:25">
      <c r="P103">
        <f t="shared" si="6"/>
        <v>0</v>
      </c>
      <c r="Q103">
        <f>IF(F103="","",IFERROR(INDEX(场景库!$B:$B,MATCH(F103,场景库!$A:$A,0)),1))</f>
        <v>0</v>
      </c>
      <c r="R103">
        <f>IF(G103="","",IFERROR(INDEX(场景库!$E:$E,MATCH(G103,场景库!$D:$D,0)),1))</f>
        <v>0</v>
      </c>
      <c r="S103">
        <f t="shared" si="7"/>
        <v>0</v>
      </c>
      <c r="T103">
        <f t="shared" si="8"/>
        <v>0</v>
      </c>
      <c r="U103">
        <f t="shared" si="9"/>
        <v>0</v>
      </c>
      <c r="X103">
        <f t="shared" si="10"/>
        <v>0</v>
      </c>
      <c r="Y103">
        <f t="shared" si="11"/>
        <v>0</v>
      </c>
    </row>
    <row r="104" spans="16:25">
      <c r="P104">
        <f t="shared" si="6"/>
        <v>0</v>
      </c>
      <c r="Q104">
        <f>IF(F104="","",IFERROR(INDEX(场景库!$B:$B,MATCH(F104,场景库!$A:$A,0)),1))</f>
        <v>0</v>
      </c>
      <c r="R104">
        <f>IF(G104="","",IFERROR(INDEX(场景库!$E:$E,MATCH(G104,场景库!$D:$D,0)),1))</f>
        <v>0</v>
      </c>
      <c r="S104">
        <f t="shared" si="7"/>
        <v>0</v>
      </c>
      <c r="T104">
        <f t="shared" si="8"/>
        <v>0</v>
      </c>
      <c r="U104">
        <f t="shared" si="9"/>
        <v>0</v>
      </c>
      <c r="X104">
        <f t="shared" si="10"/>
        <v>0</v>
      </c>
      <c r="Y104">
        <f t="shared" si="11"/>
        <v>0</v>
      </c>
    </row>
    <row r="105" spans="16:25">
      <c r="P105">
        <f t="shared" si="6"/>
        <v>0</v>
      </c>
      <c r="Q105">
        <f>IF(F105="","",IFERROR(INDEX(场景库!$B:$B,MATCH(F105,场景库!$A:$A,0)),1))</f>
        <v>0</v>
      </c>
      <c r="R105">
        <f>IF(G105="","",IFERROR(INDEX(场景库!$E:$E,MATCH(G105,场景库!$D:$D,0)),1))</f>
        <v>0</v>
      </c>
      <c r="S105">
        <f t="shared" si="7"/>
        <v>0</v>
      </c>
      <c r="T105">
        <f t="shared" si="8"/>
        <v>0</v>
      </c>
      <c r="U105">
        <f t="shared" si="9"/>
        <v>0</v>
      </c>
      <c r="X105">
        <f t="shared" si="10"/>
        <v>0</v>
      </c>
      <c r="Y105">
        <f t="shared" si="11"/>
        <v>0</v>
      </c>
    </row>
    <row r="106" spans="16:25">
      <c r="P106">
        <f t="shared" si="6"/>
        <v>0</v>
      </c>
      <c r="Q106">
        <f>IF(F106="","",IFERROR(INDEX(场景库!$B:$B,MATCH(F106,场景库!$A:$A,0)),1))</f>
        <v>0</v>
      </c>
      <c r="R106">
        <f>IF(G106="","",IFERROR(INDEX(场景库!$E:$E,MATCH(G106,场景库!$D:$D,0)),1))</f>
        <v>0</v>
      </c>
      <c r="S106">
        <f t="shared" si="7"/>
        <v>0</v>
      </c>
      <c r="T106">
        <f t="shared" si="8"/>
        <v>0</v>
      </c>
      <c r="U106">
        <f t="shared" si="9"/>
        <v>0</v>
      </c>
      <c r="X106">
        <f t="shared" si="10"/>
        <v>0</v>
      </c>
      <c r="Y106">
        <f t="shared" si="11"/>
        <v>0</v>
      </c>
    </row>
    <row r="107" spans="16:25">
      <c r="P107">
        <f t="shared" si="6"/>
        <v>0</v>
      </c>
      <c r="Q107">
        <f>IF(F107="","",IFERROR(INDEX(场景库!$B:$B,MATCH(F107,场景库!$A:$A,0)),1))</f>
        <v>0</v>
      </c>
      <c r="R107">
        <f>IF(G107="","",IFERROR(INDEX(场景库!$E:$E,MATCH(G107,场景库!$D:$D,0)),1))</f>
        <v>0</v>
      </c>
      <c r="S107">
        <f t="shared" si="7"/>
        <v>0</v>
      </c>
      <c r="T107">
        <f t="shared" si="8"/>
        <v>0</v>
      </c>
      <c r="U107">
        <f t="shared" si="9"/>
        <v>0</v>
      </c>
      <c r="X107">
        <f t="shared" si="10"/>
        <v>0</v>
      </c>
      <c r="Y107">
        <f t="shared" si="11"/>
        <v>0</v>
      </c>
    </row>
    <row r="108" spans="16:25">
      <c r="P108">
        <f t="shared" si="6"/>
        <v>0</v>
      </c>
      <c r="Q108">
        <f>IF(F108="","",IFERROR(INDEX(场景库!$B:$B,MATCH(F108,场景库!$A:$A,0)),1))</f>
        <v>0</v>
      </c>
      <c r="R108">
        <f>IF(G108="","",IFERROR(INDEX(场景库!$E:$E,MATCH(G108,场景库!$D:$D,0)),1))</f>
        <v>0</v>
      </c>
      <c r="S108">
        <f t="shared" si="7"/>
        <v>0</v>
      </c>
      <c r="T108">
        <f t="shared" si="8"/>
        <v>0</v>
      </c>
      <c r="U108">
        <f t="shared" si="9"/>
        <v>0</v>
      </c>
      <c r="X108">
        <f t="shared" si="10"/>
        <v>0</v>
      </c>
      <c r="Y108">
        <f t="shared" si="11"/>
        <v>0</v>
      </c>
    </row>
    <row r="109" spans="16:25">
      <c r="P109">
        <f t="shared" si="6"/>
        <v>0</v>
      </c>
      <c r="Q109">
        <f>IF(F109="","",IFERROR(INDEX(场景库!$B:$B,MATCH(F109,场景库!$A:$A,0)),1))</f>
        <v>0</v>
      </c>
      <c r="R109">
        <f>IF(G109="","",IFERROR(INDEX(场景库!$E:$E,MATCH(G109,场景库!$D:$D,0)),1))</f>
        <v>0</v>
      </c>
      <c r="S109">
        <f t="shared" si="7"/>
        <v>0</v>
      </c>
      <c r="T109">
        <f t="shared" si="8"/>
        <v>0</v>
      </c>
      <c r="U109">
        <f t="shared" si="9"/>
        <v>0</v>
      </c>
      <c r="X109">
        <f t="shared" si="10"/>
        <v>0</v>
      </c>
      <c r="Y109">
        <f t="shared" si="11"/>
        <v>0</v>
      </c>
    </row>
    <row r="110" spans="16:25">
      <c r="P110">
        <f t="shared" si="6"/>
        <v>0</v>
      </c>
      <c r="Q110">
        <f>IF(F110="","",IFERROR(INDEX(场景库!$B:$B,MATCH(F110,场景库!$A:$A,0)),1))</f>
        <v>0</v>
      </c>
      <c r="R110">
        <f>IF(G110="","",IFERROR(INDEX(场景库!$E:$E,MATCH(G110,场景库!$D:$D,0)),1))</f>
        <v>0</v>
      </c>
      <c r="S110">
        <f t="shared" si="7"/>
        <v>0</v>
      </c>
      <c r="T110">
        <f t="shared" si="8"/>
        <v>0</v>
      </c>
      <c r="U110">
        <f t="shared" si="9"/>
        <v>0</v>
      </c>
      <c r="X110">
        <f t="shared" si="10"/>
        <v>0</v>
      </c>
      <c r="Y110">
        <f t="shared" si="11"/>
        <v>0</v>
      </c>
    </row>
    <row r="111" spans="16:25">
      <c r="P111">
        <f t="shared" si="6"/>
        <v>0</v>
      </c>
      <c r="Q111">
        <f>IF(F111="","",IFERROR(INDEX(场景库!$B:$B,MATCH(F111,场景库!$A:$A,0)),1))</f>
        <v>0</v>
      </c>
      <c r="R111">
        <f>IF(G111="","",IFERROR(INDEX(场景库!$E:$E,MATCH(G111,场景库!$D:$D,0)),1))</f>
        <v>0</v>
      </c>
      <c r="S111">
        <f t="shared" si="7"/>
        <v>0</v>
      </c>
      <c r="T111">
        <f t="shared" si="8"/>
        <v>0</v>
      </c>
      <c r="U111">
        <f t="shared" si="9"/>
        <v>0</v>
      </c>
      <c r="X111">
        <f t="shared" si="10"/>
        <v>0</v>
      </c>
      <c r="Y111">
        <f t="shared" si="11"/>
        <v>0</v>
      </c>
    </row>
    <row r="112" spans="16:25">
      <c r="P112">
        <f t="shared" si="6"/>
        <v>0</v>
      </c>
      <c r="Q112">
        <f>IF(F112="","",IFERROR(INDEX(场景库!$B:$B,MATCH(F112,场景库!$A:$A,0)),1))</f>
        <v>0</v>
      </c>
      <c r="R112">
        <f>IF(G112="","",IFERROR(INDEX(场景库!$E:$E,MATCH(G112,场景库!$D:$D,0)),1))</f>
        <v>0</v>
      </c>
      <c r="S112">
        <f t="shared" si="7"/>
        <v>0</v>
      </c>
      <c r="T112">
        <f t="shared" si="8"/>
        <v>0</v>
      </c>
      <c r="U112">
        <f t="shared" si="9"/>
        <v>0</v>
      </c>
      <c r="X112">
        <f t="shared" si="10"/>
        <v>0</v>
      </c>
      <c r="Y112">
        <f t="shared" si="11"/>
        <v>0</v>
      </c>
    </row>
    <row r="113" spans="16:25">
      <c r="P113">
        <f t="shared" si="6"/>
        <v>0</v>
      </c>
      <c r="Q113">
        <f>IF(F113="","",IFERROR(INDEX(场景库!$B:$B,MATCH(F113,场景库!$A:$A,0)),1))</f>
        <v>0</v>
      </c>
      <c r="R113">
        <f>IF(G113="","",IFERROR(INDEX(场景库!$E:$E,MATCH(G113,场景库!$D:$D,0)),1))</f>
        <v>0</v>
      </c>
      <c r="S113">
        <f t="shared" si="7"/>
        <v>0</v>
      </c>
      <c r="T113">
        <f t="shared" si="8"/>
        <v>0</v>
      </c>
      <c r="U113">
        <f t="shared" si="9"/>
        <v>0</v>
      </c>
      <c r="X113">
        <f t="shared" si="10"/>
        <v>0</v>
      </c>
      <c r="Y113">
        <f t="shared" si="11"/>
        <v>0</v>
      </c>
    </row>
    <row r="114" spans="16:25">
      <c r="P114">
        <f t="shared" si="6"/>
        <v>0</v>
      </c>
      <c r="Q114">
        <f>IF(F114="","",IFERROR(INDEX(场景库!$B:$B,MATCH(F114,场景库!$A:$A,0)),1))</f>
        <v>0</v>
      </c>
      <c r="R114">
        <f>IF(G114="","",IFERROR(INDEX(场景库!$E:$E,MATCH(G114,场景库!$D:$D,0)),1))</f>
        <v>0</v>
      </c>
      <c r="S114">
        <f t="shared" si="7"/>
        <v>0</v>
      </c>
      <c r="T114">
        <f t="shared" si="8"/>
        <v>0</v>
      </c>
      <c r="U114">
        <f t="shared" si="9"/>
        <v>0</v>
      </c>
      <c r="X114">
        <f t="shared" si="10"/>
        <v>0</v>
      </c>
      <c r="Y114">
        <f t="shared" si="11"/>
        <v>0</v>
      </c>
    </row>
    <row r="115" spans="16:25">
      <c r="P115">
        <f t="shared" si="6"/>
        <v>0</v>
      </c>
      <c r="Q115">
        <f>IF(F115="","",IFERROR(INDEX(场景库!$B:$B,MATCH(F115,场景库!$A:$A,0)),1))</f>
        <v>0</v>
      </c>
      <c r="R115">
        <f>IF(G115="","",IFERROR(INDEX(场景库!$E:$E,MATCH(G115,场景库!$D:$D,0)),1))</f>
        <v>0</v>
      </c>
      <c r="S115">
        <f t="shared" si="7"/>
        <v>0</v>
      </c>
      <c r="T115">
        <f t="shared" si="8"/>
        <v>0</v>
      </c>
      <c r="U115">
        <f t="shared" si="9"/>
        <v>0</v>
      </c>
      <c r="X115">
        <f t="shared" si="10"/>
        <v>0</v>
      </c>
      <c r="Y115">
        <f t="shared" si="11"/>
        <v>0</v>
      </c>
    </row>
    <row r="116" spans="16:25">
      <c r="P116">
        <f t="shared" si="6"/>
        <v>0</v>
      </c>
      <c r="Q116">
        <f>IF(F116="","",IFERROR(INDEX(场景库!$B:$B,MATCH(F116,场景库!$A:$A,0)),1))</f>
        <v>0</v>
      </c>
      <c r="R116">
        <f>IF(G116="","",IFERROR(INDEX(场景库!$E:$E,MATCH(G116,场景库!$D:$D,0)),1))</f>
        <v>0</v>
      </c>
      <c r="S116">
        <f t="shared" si="7"/>
        <v>0</v>
      </c>
      <c r="T116">
        <f t="shared" si="8"/>
        <v>0</v>
      </c>
      <c r="U116">
        <f t="shared" si="9"/>
        <v>0</v>
      </c>
      <c r="X116">
        <f t="shared" si="10"/>
        <v>0</v>
      </c>
      <c r="Y116">
        <f t="shared" si="11"/>
        <v>0</v>
      </c>
    </row>
    <row r="117" spans="16:25">
      <c r="P117">
        <f t="shared" si="6"/>
        <v>0</v>
      </c>
      <c r="Q117">
        <f>IF(F117="","",IFERROR(INDEX(场景库!$B:$B,MATCH(F117,场景库!$A:$A,0)),1))</f>
        <v>0</v>
      </c>
      <c r="R117">
        <f>IF(G117="","",IFERROR(INDEX(场景库!$E:$E,MATCH(G117,场景库!$D:$D,0)),1))</f>
        <v>0</v>
      </c>
      <c r="S117">
        <f t="shared" si="7"/>
        <v>0</v>
      </c>
      <c r="T117">
        <f t="shared" si="8"/>
        <v>0</v>
      </c>
      <c r="U117">
        <f t="shared" si="9"/>
        <v>0</v>
      </c>
      <c r="X117">
        <f t="shared" si="10"/>
        <v>0</v>
      </c>
      <c r="Y117">
        <f t="shared" si="11"/>
        <v>0</v>
      </c>
    </row>
    <row r="118" spans="16:25">
      <c r="P118">
        <f t="shared" si="6"/>
        <v>0</v>
      </c>
      <c r="Q118">
        <f>IF(F118="","",IFERROR(INDEX(场景库!$B:$B,MATCH(F118,场景库!$A:$A,0)),1))</f>
        <v>0</v>
      </c>
      <c r="R118">
        <f>IF(G118="","",IFERROR(INDEX(场景库!$E:$E,MATCH(G118,场景库!$D:$D,0)),1))</f>
        <v>0</v>
      </c>
      <c r="S118">
        <f t="shared" si="7"/>
        <v>0</v>
      </c>
      <c r="T118">
        <f t="shared" si="8"/>
        <v>0</v>
      </c>
      <c r="U118">
        <f t="shared" si="9"/>
        <v>0</v>
      </c>
      <c r="X118">
        <f t="shared" si="10"/>
        <v>0</v>
      </c>
      <c r="Y118">
        <f t="shared" si="11"/>
        <v>0</v>
      </c>
    </row>
    <row r="119" spans="16:25">
      <c r="P119">
        <f t="shared" si="6"/>
        <v>0</v>
      </c>
      <c r="Q119">
        <f>IF(F119="","",IFERROR(INDEX(场景库!$B:$B,MATCH(F119,场景库!$A:$A,0)),1))</f>
        <v>0</v>
      </c>
      <c r="R119">
        <f>IF(G119="","",IFERROR(INDEX(场景库!$E:$E,MATCH(G119,场景库!$D:$D,0)),1))</f>
        <v>0</v>
      </c>
      <c r="S119">
        <f t="shared" si="7"/>
        <v>0</v>
      </c>
      <c r="T119">
        <f t="shared" si="8"/>
        <v>0</v>
      </c>
      <c r="U119">
        <f t="shared" si="9"/>
        <v>0</v>
      </c>
      <c r="X119">
        <f t="shared" si="10"/>
        <v>0</v>
      </c>
      <c r="Y119">
        <f t="shared" si="11"/>
        <v>0</v>
      </c>
    </row>
    <row r="120" spans="16:25">
      <c r="P120">
        <f t="shared" si="6"/>
        <v>0</v>
      </c>
      <c r="Q120">
        <f>IF(F120="","",IFERROR(INDEX(场景库!$B:$B,MATCH(F120,场景库!$A:$A,0)),1))</f>
        <v>0</v>
      </c>
      <c r="R120">
        <f>IF(G120="","",IFERROR(INDEX(场景库!$E:$E,MATCH(G120,场景库!$D:$D,0)),1))</f>
        <v>0</v>
      </c>
      <c r="S120">
        <f t="shared" si="7"/>
        <v>0</v>
      </c>
      <c r="T120">
        <f t="shared" si="8"/>
        <v>0</v>
      </c>
      <c r="U120">
        <f t="shared" si="9"/>
        <v>0</v>
      </c>
      <c r="X120">
        <f t="shared" si="10"/>
        <v>0</v>
      </c>
      <c r="Y120">
        <f t="shared" si="11"/>
        <v>0</v>
      </c>
    </row>
    <row r="121" spans="16:25">
      <c r="P121">
        <f t="shared" si="6"/>
        <v>0</v>
      </c>
      <c r="Q121">
        <f>IF(F121="","",IFERROR(INDEX(场景库!$B:$B,MATCH(F121,场景库!$A:$A,0)),1))</f>
        <v>0</v>
      </c>
      <c r="R121">
        <f>IF(G121="","",IFERROR(INDEX(场景库!$E:$E,MATCH(G121,场景库!$D:$D,0)),1))</f>
        <v>0</v>
      </c>
      <c r="S121">
        <f t="shared" si="7"/>
        <v>0</v>
      </c>
      <c r="T121">
        <f t="shared" si="8"/>
        <v>0</v>
      </c>
      <c r="U121">
        <f t="shared" si="9"/>
        <v>0</v>
      </c>
      <c r="X121">
        <f t="shared" si="10"/>
        <v>0</v>
      </c>
      <c r="Y121">
        <f t="shared" si="11"/>
        <v>0</v>
      </c>
    </row>
    <row r="122" spans="16:25">
      <c r="P122">
        <f t="shared" si="6"/>
        <v>0</v>
      </c>
      <c r="Q122">
        <f>IF(F122="","",IFERROR(INDEX(场景库!$B:$B,MATCH(F122,场景库!$A:$A,0)),1))</f>
        <v>0</v>
      </c>
      <c r="R122">
        <f>IF(G122="","",IFERROR(INDEX(场景库!$E:$E,MATCH(G122,场景库!$D:$D,0)),1))</f>
        <v>0</v>
      </c>
      <c r="S122">
        <f t="shared" si="7"/>
        <v>0</v>
      </c>
      <c r="T122">
        <f t="shared" si="8"/>
        <v>0</v>
      </c>
      <c r="U122">
        <f t="shared" si="9"/>
        <v>0</v>
      </c>
      <c r="X122">
        <f t="shared" si="10"/>
        <v>0</v>
      </c>
      <c r="Y122">
        <f t="shared" si="11"/>
        <v>0</v>
      </c>
    </row>
    <row r="123" spans="16:25">
      <c r="P123">
        <f t="shared" si="6"/>
        <v>0</v>
      </c>
      <c r="Q123">
        <f>IF(F123="","",IFERROR(INDEX(场景库!$B:$B,MATCH(F123,场景库!$A:$A,0)),1))</f>
        <v>0</v>
      </c>
      <c r="R123">
        <f>IF(G123="","",IFERROR(INDEX(场景库!$E:$E,MATCH(G123,场景库!$D:$D,0)),1))</f>
        <v>0</v>
      </c>
      <c r="S123">
        <f t="shared" si="7"/>
        <v>0</v>
      </c>
      <c r="T123">
        <f t="shared" si="8"/>
        <v>0</v>
      </c>
      <c r="U123">
        <f t="shared" si="9"/>
        <v>0</v>
      </c>
      <c r="X123">
        <f t="shared" si="10"/>
        <v>0</v>
      </c>
      <c r="Y123">
        <f t="shared" si="11"/>
        <v>0</v>
      </c>
    </row>
    <row r="124" spans="16:25">
      <c r="P124">
        <f t="shared" si="6"/>
        <v>0</v>
      </c>
      <c r="Q124">
        <f>IF(F124="","",IFERROR(INDEX(场景库!$B:$B,MATCH(F124,场景库!$A:$A,0)),1))</f>
        <v>0</v>
      </c>
      <c r="R124">
        <f>IF(G124="","",IFERROR(INDEX(场景库!$E:$E,MATCH(G124,场景库!$D:$D,0)),1))</f>
        <v>0</v>
      </c>
      <c r="S124">
        <f t="shared" si="7"/>
        <v>0</v>
      </c>
      <c r="T124">
        <f t="shared" si="8"/>
        <v>0</v>
      </c>
      <c r="U124">
        <f t="shared" si="9"/>
        <v>0</v>
      </c>
      <c r="X124">
        <f t="shared" si="10"/>
        <v>0</v>
      </c>
      <c r="Y124">
        <f t="shared" si="11"/>
        <v>0</v>
      </c>
    </row>
    <row r="125" spans="16:25">
      <c r="P125">
        <f t="shared" si="6"/>
        <v>0</v>
      </c>
      <c r="Q125">
        <f>IF(F125="","",IFERROR(INDEX(场景库!$B:$B,MATCH(F125,场景库!$A:$A,0)),1))</f>
        <v>0</v>
      </c>
      <c r="R125">
        <f>IF(G125="","",IFERROR(INDEX(场景库!$E:$E,MATCH(G125,场景库!$D:$D,0)),1))</f>
        <v>0</v>
      </c>
      <c r="S125">
        <f t="shared" si="7"/>
        <v>0</v>
      </c>
      <c r="T125">
        <f t="shared" si="8"/>
        <v>0</v>
      </c>
      <c r="U125">
        <f t="shared" si="9"/>
        <v>0</v>
      </c>
      <c r="X125">
        <f t="shared" si="10"/>
        <v>0</v>
      </c>
      <c r="Y125">
        <f t="shared" si="11"/>
        <v>0</v>
      </c>
    </row>
    <row r="126" spans="16:25">
      <c r="P126">
        <f t="shared" si="6"/>
        <v>0</v>
      </c>
      <c r="Q126">
        <f>IF(F126="","",IFERROR(INDEX(场景库!$B:$B,MATCH(F126,场景库!$A:$A,0)),1))</f>
        <v>0</v>
      </c>
      <c r="R126">
        <f>IF(G126="","",IFERROR(INDEX(场景库!$E:$E,MATCH(G126,场景库!$D:$D,0)),1))</f>
        <v>0</v>
      </c>
      <c r="S126">
        <f t="shared" si="7"/>
        <v>0</v>
      </c>
      <c r="T126">
        <f t="shared" si="8"/>
        <v>0</v>
      </c>
      <c r="U126">
        <f t="shared" si="9"/>
        <v>0</v>
      </c>
      <c r="X126">
        <f t="shared" si="10"/>
        <v>0</v>
      </c>
      <c r="Y126">
        <f t="shared" si="11"/>
        <v>0</v>
      </c>
    </row>
    <row r="127" spans="16:25">
      <c r="P127">
        <f t="shared" si="6"/>
        <v>0</v>
      </c>
      <c r="Q127">
        <f>IF(F127="","",IFERROR(INDEX(场景库!$B:$B,MATCH(F127,场景库!$A:$A,0)),1))</f>
        <v>0</v>
      </c>
      <c r="R127">
        <f>IF(G127="","",IFERROR(INDEX(场景库!$E:$E,MATCH(G127,场景库!$D:$D,0)),1))</f>
        <v>0</v>
      </c>
      <c r="S127">
        <f t="shared" si="7"/>
        <v>0</v>
      </c>
      <c r="T127">
        <f t="shared" si="8"/>
        <v>0</v>
      </c>
      <c r="U127">
        <f t="shared" si="9"/>
        <v>0</v>
      </c>
      <c r="X127">
        <f t="shared" si="10"/>
        <v>0</v>
      </c>
      <c r="Y127">
        <f t="shared" si="11"/>
        <v>0</v>
      </c>
    </row>
    <row r="128" spans="16:25">
      <c r="P128">
        <f t="shared" si="6"/>
        <v>0</v>
      </c>
      <c r="Q128">
        <f>IF(F128="","",IFERROR(INDEX(场景库!$B:$B,MATCH(F128,场景库!$A:$A,0)),1))</f>
        <v>0</v>
      </c>
      <c r="R128">
        <f>IF(G128="","",IFERROR(INDEX(场景库!$E:$E,MATCH(G128,场景库!$D:$D,0)),1))</f>
        <v>0</v>
      </c>
      <c r="S128">
        <f t="shared" si="7"/>
        <v>0</v>
      </c>
      <c r="T128">
        <f t="shared" si="8"/>
        <v>0</v>
      </c>
      <c r="U128">
        <f t="shared" si="9"/>
        <v>0</v>
      </c>
      <c r="X128">
        <f t="shared" si="10"/>
        <v>0</v>
      </c>
      <c r="Y128">
        <f t="shared" si="11"/>
        <v>0</v>
      </c>
    </row>
    <row r="129" spans="16:25">
      <c r="P129">
        <f t="shared" si="6"/>
        <v>0</v>
      </c>
      <c r="Q129">
        <f>IF(F129="","",IFERROR(INDEX(场景库!$B:$B,MATCH(F129,场景库!$A:$A,0)),1))</f>
        <v>0</v>
      </c>
      <c r="R129">
        <f>IF(G129="","",IFERROR(INDEX(场景库!$E:$E,MATCH(G129,场景库!$D:$D,0)),1))</f>
        <v>0</v>
      </c>
      <c r="S129">
        <f t="shared" si="7"/>
        <v>0</v>
      </c>
      <c r="T129">
        <f t="shared" si="8"/>
        <v>0</v>
      </c>
      <c r="U129">
        <f t="shared" si="9"/>
        <v>0</v>
      </c>
      <c r="X129">
        <f t="shared" si="10"/>
        <v>0</v>
      </c>
      <c r="Y129">
        <f t="shared" si="11"/>
        <v>0</v>
      </c>
    </row>
    <row r="130" spans="16:25">
      <c r="P130">
        <f t="shared" ref="P130:P193" si="12">IF(COUNTA(I130:O130)=0,"",ROUND((I130*0.15+J130*0.15+K130*0.25+L130*0.25+O130*0.1+(6-M130)*0.05+(6-N130)*0.05)/5*100,1))</f>
        <v>0</v>
      </c>
      <c r="Q130">
        <f>IF(F130="","",IFERROR(INDEX(场景库!$B:$B,MATCH(F130,场景库!$A:$A,0)),1))</f>
        <v>0</v>
      </c>
      <c r="R130">
        <f>IF(G130="","",IFERROR(INDEX(场景库!$E:$E,MATCH(G130,场景库!$D:$D,0)),1))</f>
        <v>0</v>
      </c>
      <c r="S130">
        <f t="shared" ref="S130:S193" si="13">IF(P130="","",ROUND(MIN(100,P130*Q130*R130),1))</f>
        <v>0</v>
      </c>
      <c r="T130">
        <f t="shared" ref="T130:T193" si="14">IF(S130="","",ROUND(100-S130,1))</f>
        <v>0</v>
      </c>
      <c r="U130">
        <f t="shared" ref="U130:U193" si="15">IF(X130="","",IF(X130&gt;=80,"严重",IF(X130&gt;=60,"高",IF(X130&gt;=40,"中","低"))))</f>
        <v>0</v>
      </c>
      <c r="X130">
        <f t="shared" ref="X130:X193" si="16">IF(S130="","",IF(W130="",S130,W130))</f>
        <v>0</v>
      </c>
      <c r="Y130">
        <f t="shared" ref="Y130:Y193" si="17">IF(X130="","",ROUND(100-X130,1))</f>
        <v>0</v>
      </c>
    </row>
    <row r="131" spans="16:25">
      <c r="P131">
        <f t="shared" si="12"/>
        <v>0</v>
      </c>
      <c r="Q131">
        <f>IF(F131="","",IFERROR(INDEX(场景库!$B:$B,MATCH(F131,场景库!$A:$A,0)),1))</f>
        <v>0</v>
      </c>
      <c r="R131">
        <f>IF(G131="","",IFERROR(INDEX(场景库!$E:$E,MATCH(G131,场景库!$D:$D,0)),1))</f>
        <v>0</v>
      </c>
      <c r="S131">
        <f t="shared" si="13"/>
        <v>0</v>
      </c>
      <c r="T131">
        <f t="shared" si="14"/>
        <v>0</v>
      </c>
      <c r="U131">
        <f t="shared" si="15"/>
        <v>0</v>
      </c>
      <c r="X131">
        <f t="shared" si="16"/>
        <v>0</v>
      </c>
      <c r="Y131">
        <f t="shared" si="17"/>
        <v>0</v>
      </c>
    </row>
    <row r="132" spans="16:25">
      <c r="P132">
        <f t="shared" si="12"/>
        <v>0</v>
      </c>
      <c r="Q132">
        <f>IF(F132="","",IFERROR(INDEX(场景库!$B:$B,MATCH(F132,场景库!$A:$A,0)),1))</f>
        <v>0</v>
      </c>
      <c r="R132">
        <f>IF(G132="","",IFERROR(INDEX(场景库!$E:$E,MATCH(G132,场景库!$D:$D,0)),1))</f>
        <v>0</v>
      </c>
      <c r="S132">
        <f t="shared" si="13"/>
        <v>0</v>
      </c>
      <c r="T132">
        <f t="shared" si="14"/>
        <v>0</v>
      </c>
      <c r="U132">
        <f t="shared" si="15"/>
        <v>0</v>
      </c>
      <c r="X132">
        <f t="shared" si="16"/>
        <v>0</v>
      </c>
      <c r="Y132">
        <f t="shared" si="17"/>
        <v>0</v>
      </c>
    </row>
    <row r="133" spans="16:25">
      <c r="P133">
        <f t="shared" si="12"/>
        <v>0</v>
      </c>
      <c r="Q133">
        <f>IF(F133="","",IFERROR(INDEX(场景库!$B:$B,MATCH(F133,场景库!$A:$A,0)),1))</f>
        <v>0</v>
      </c>
      <c r="R133">
        <f>IF(G133="","",IFERROR(INDEX(场景库!$E:$E,MATCH(G133,场景库!$D:$D,0)),1))</f>
        <v>0</v>
      </c>
      <c r="S133">
        <f t="shared" si="13"/>
        <v>0</v>
      </c>
      <c r="T133">
        <f t="shared" si="14"/>
        <v>0</v>
      </c>
      <c r="U133">
        <f t="shared" si="15"/>
        <v>0</v>
      </c>
      <c r="X133">
        <f t="shared" si="16"/>
        <v>0</v>
      </c>
      <c r="Y133">
        <f t="shared" si="17"/>
        <v>0</v>
      </c>
    </row>
    <row r="134" spans="16:25">
      <c r="P134">
        <f t="shared" si="12"/>
        <v>0</v>
      </c>
      <c r="Q134">
        <f>IF(F134="","",IFERROR(INDEX(场景库!$B:$B,MATCH(F134,场景库!$A:$A,0)),1))</f>
        <v>0</v>
      </c>
      <c r="R134">
        <f>IF(G134="","",IFERROR(INDEX(场景库!$E:$E,MATCH(G134,场景库!$D:$D,0)),1))</f>
        <v>0</v>
      </c>
      <c r="S134">
        <f t="shared" si="13"/>
        <v>0</v>
      </c>
      <c r="T134">
        <f t="shared" si="14"/>
        <v>0</v>
      </c>
      <c r="U134">
        <f t="shared" si="15"/>
        <v>0</v>
      </c>
      <c r="X134">
        <f t="shared" si="16"/>
        <v>0</v>
      </c>
      <c r="Y134">
        <f t="shared" si="17"/>
        <v>0</v>
      </c>
    </row>
    <row r="135" spans="16:25">
      <c r="P135">
        <f t="shared" si="12"/>
        <v>0</v>
      </c>
      <c r="Q135">
        <f>IF(F135="","",IFERROR(INDEX(场景库!$B:$B,MATCH(F135,场景库!$A:$A,0)),1))</f>
        <v>0</v>
      </c>
      <c r="R135">
        <f>IF(G135="","",IFERROR(INDEX(场景库!$E:$E,MATCH(G135,场景库!$D:$D,0)),1))</f>
        <v>0</v>
      </c>
      <c r="S135">
        <f t="shared" si="13"/>
        <v>0</v>
      </c>
      <c r="T135">
        <f t="shared" si="14"/>
        <v>0</v>
      </c>
      <c r="U135">
        <f t="shared" si="15"/>
        <v>0</v>
      </c>
      <c r="X135">
        <f t="shared" si="16"/>
        <v>0</v>
      </c>
      <c r="Y135">
        <f t="shared" si="17"/>
        <v>0</v>
      </c>
    </row>
    <row r="136" spans="16:25">
      <c r="P136">
        <f t="shared" si="12"/>
        <v>0</v>
      </c>
      <c r="Q136">
        <f>IF(F136="","",IFERROR(INDEX(场景库!$B:$B,MATCH(F136,场景库!$A:$A,0)),1))</f>
        <v>0</v>
      </c>
      <c r="R136">
        <f>IF(G136="","",IFERROR(INDEX(场景库!$E:$E,MATCH(G136,场景库!$D:$D,0)),1))</f>
        <v>0</v>
      </c>
      <c r="S136">
        <f t="shared" si="13"/>
        <v>0</v>
      </c>
      <c r="T136">
        <f t="shared" si="14"/>
        <v>0</v>
      </c>
      <c r="U136">
        <f t="shared" si="15"/>
        <v>0</v>
      </c>
      <c r="X136">
        <f t="shared" si="16"/>
        <v>0</v>
      </c>
      <c r="Y136">
        <f t="shared" si="17"/>
        <v>0</v>
      </c>
    </row>
    <row r="137" spans="16:25">
      <c r="P137">
        <f t="shared" si="12"/>
        <v>0</v>
      </c>
      <c r="Q137">
        <f>IF(F137="","",IFERROR(INDEX(场景库!$B:$B,MATCH(F137,场景库!$A:$A,0)),1))</f>
        <v>0</v>
      </c>
      <c r="R137">
        <f>IF(G137="","",IFERROR(INDEX(场景库!$E:$E,MATCH(G137,场景库!$D:$D,0)),1))</f>
        <v>0</v>
      </c>
      <c r="S137">
        <f t="shared" si="13"/>
        <v>0</v>
      </c>
      <c r="T137">
        <f t="shared" si="14"/>
        <v>0</v>
      </c>
      <c r="U137">
        <f t="shared" si="15"/>
        <v>0</v>
      </c>
      <c r="X137">
        <f t="shared" si="16"/>
        <v>0</v>
      </c>
      <c r="Y137">
        <f t="shared" si="17"/>
        <v>0</v>
      </c>
    </row>
    <row r="138" spans="16:25">
      <c r="P138">
        <f t="shared" si="12"/>
        <v>0</v>
      </c>
      <c r="Q138">
        <f>IF(F138="","",IFERROR(INDEX(场景库!$B:$B,MATCH(F138,场景库!$A:$A,0)),1))</f>
        <v>0</v>
      </c>
      <c r="R138">
        <f>IF(G138="","",IFERROR(INDEX(场景库!$E:$E,MATCH(G138,场景库!$D:$D,0)),1))</f>
        <v>0</v>
      </c>
      <c r="S138">
        <f t="shared" si="13"/>
        <v>0</v>
      </c>
      <c r="T138">
        <f t="shared" si="14"/>
        <v>0</v>
      </c>
      <c r="U138">
        <f t="shared" si="15"/>
        <v>0</v>
      </c>
      <c r="X138">
        <f t="shared" si="16"/>
        <v>0</v>
      </c>
      <c r="Y138">
        <f t="shared" si="17"/>
        <v>0</v>
      </c>
    </row>
    <row r="139" spans="16:25">
      <c r="P139">
        <f t="shared" si="12"/>
        <v>0</v>
      </c>
      <c r="Q139">
        <f>IF(F139="","",IFERROR(INDEX(场景库!$B:$B,MATCH(F139,场景库!$A:$A,0)),1))</f>
        <v>0</v>
      </c>
      <c r="R139">
        <f>IF(G139="","",IFERROR(INDEX(场景库!$E:$E,MATCH(G139,场景库!$D:$D,0)),1))</f>
        <v>0</v>
      </c>
      <c r="S139">
        <f t="shared" si="13"/>
        <v>0</v>
      </c>
      <c r="T139">
        <f t="shared" si="14"/>
        <v>0</v>
      </c>
      <c r="U139">
        <f t="shared" si="15"/>
        <v>0</v>
      </c>
      <c r="X139">
        <f t="shared" si="16"/>
        <v>0</v>
      </c>
      <c r="Y139">
        <f t="shared" si="17"/>
        <v>0</v>
      </c>
    </row>
    <row r="140" spans="16:25">
      <c r="P140">
        <f t="shared" si="12"/>
        <v>0</v>
      </c>
      <c r="Q140">
        <f>IF(F140="","",IFERROR(INDEX(场景库!$B:$B,MATCH(F140,场景库!$A:$A,0)),1))</f>
        <v>0</v>
      </c>
      <c r="R140">
        <f>IF(G140="","",IFERROR(INDEX(场景库!$E:$E,MATCH(G140,场景库!$D:$D,0)),1))</f>
        <v>0</v>
      </c>
      <c r="S140">
        <f t="shared" si="13"/>
        <v>0</v>
      </c>
      <c r="T140">
        <f t="shared" si="14"/>
        <v>0</v>
      </c>
      <c r="U140">
        <f t="shared" si="15"/>
        <v>0</v>
      </c>
      <c r="X140">
        <f t="shared" si="16"/>
        <v>0</v>
      </c>
      <c r="Y140">
        <f t="shared" si="17"/>
        <v>0</v>
      </c>
    </row>
    <row r="141" spans="16:25">
      <c r="P141">
        <f t="shared" si="12"/>
        <v>0</v>
      </c>
      <c r="Q141">
        <f>IF(F141="","",IFERROR(INDEX(场景库!$B:$B,MATCH(F141,场景库!$A:$A,0)),1))</f>
        <v>0</v>
      </c>
      <c r="R141">
        <f>IF(G141="","",IFERROR(INDEX(场景库!$E:$E,MATCH(G141,场景库!$D:$D,0)),1))</f>
        <v>0</v>
      </c>
      <c r="S141">
        <f t="shared" si="13"/>
        <v>0</v>
      </c>
      <c r="T141">
        <f t="shared" si="14"/>
        <v>0</v>
      </c>
      <c r="U141">
        <f t="shared" si="15"/>
        <v>0</v>
      </c>
      <c r="X141">
        <f t="shared" si="16"/>
        <v>0</v>
      </c>
      <c r="Y141">
        <f t="shared" si="17"/>
        <v>0</v>
      </c>
    </row>
    <row r="142" spans="16:25">
      <c r="P142">
        <f t="shared" si="12"/>
        <v>0</v>
      </c>
      <c r="Q142">
        <f>IF(F142="","",IFERROR(INDEX(场景库!$B:$B,MATCH(F142,场景库!$A:$A,0)),1))</f>
        <v>0</v>
      </c>
      <c r="R142">
        <f>IF(G142="","",IFERROR(INDEX(场景库!$E:$E,MATCH(G142,场景库!$D:$D,0)),1))</f>
        <v>0</v>
      </c>
      <c r="S142">
        <f t="shared" si="13"/>
        <v>0</v>
      </c>
      <c r="T142">
        <f t="shared" si="14"/>
        <v>0</v>
      </c>
      <c r="U142">
        <f t="shared" si="15"/>
        <v>0</v>
      </c>
      <c r="X142">
        <f t="shared" si="16"/>
        <v>0</v>
      </c>
      <c r="Y142">
        <f t="shared" si="17"/>
        <v>0</v>
      </c>
    </row>
    <row r="143" spans="16:25">
      <c r="P143">
        <f t="shared" si="12"/>
        <v>0</v>
      </c>
      <c r="Q143">
        <f>IF(F143="","",IFERROR(INDEX(场景库!$B:$B,MATCH(F143,场景库!$A:$A,0)),1))</f>
        <v>0</v>
      </c>
      <c r="R143">
        <f>IF(G143="","",IFERROR(INDEX(场景库!$E:$E,MATCH(G143,场景库!$D:$D,0)),1))</f>
        <v>0</v>
      </c>
      <c r="S143">
        <f t="shared" si="13"/>
        <v>0</v>
      </c>
      <c r="T143">
        <f t="shared" si="14"/>
        <v>0</v>
      </c>
      <c r="U143">
        <f t="shared" si="15"/>
        <v>0</v>
      </c>
      <c r="X143">
        <f t="shared" si="16"/>
        <v>0</v>
      </c>
      <c r="Y143">
        <f t="shared" si="17"/>
        <v>0</v>
      </c>
    </row>
    <row r="144" spans="16:25">
      <c r="P144">
        <f t="shared" si="12"/>
        <v>0</v>
      </c>
      <c r="Q144">
        <f>IF(F144="","",IFERROR(INDEX(场景库!$B:$B,MATCH(F144,场景库!$A:$A,0)),1))</f>
        <v>0</v>
      </c>
      <c r="R144">
        <f>IF(G144="","",IFERROR(INDEX(场景库!$E:$E,MATCH(G144,场景库!$D:$D,0)),1))</f>
        <v>0</v>
      </c>
      <c r="S144">
        <f t="shared" si="13"/>
        <v>0</v>
      </c>
      <c r="T144">
        <f t="shared" si="14"/>
        <v>0</v>
      </c>
      <c r="U144">
        <f t="shared" si="15"/>
        <v>0</v>
      </c>
      <c r="X144">
        <f t="shared" si="16"/>
        <v>0</v>
      </c>
      <c r="Y144">
        <f t="shared" si="17"/>
        <v>0</v>
      </c>
    </row>
    <row r="145" spans="16:25">
      <c r="P145">
        <f t="shared" si="12"/>
        <v>0</v>
      </c>
      <c r="Q145">
        <f>IF(F145="","",IFERROR(INDEX(场景库!$B:$B,MATCH(F145,场景库!$A:$A,0)),1))</f>
        <v>0</v>
      </c>
      <c r="R145">
        <f>IF(G145="","",IFERROR(INDEX(场景库!$E:$E,MATCH(G145,场景库!$D:$D,0)),1))</f>
        <v>0</v>
      </c>
      <c r="S145">
        <f t="shared" si="13"/>
        <v>0</v>
      </c>
      <c r="T145">
        <f t="shared" si="14"/>
        <v>0</v>
      </c>
      <c r="U145">
        <f t="shared" si="15"/>
        <v>0</v>
      </c>
      <c r="X145">
        <f t="shared" si="16"/>
        <v>0</v>
      </c>
      <c r="Y145">
        <f t="shared" si="17"/>
        <v>0</v>
      </c>
    </row>
    <row r="146" spans="16:25">
      <c r="P146">
        <f t="shared" si="12"/>
        <v>0</v>
      </c>
      <c r="Q146">
        <f>IF(F146="","",IFERROR(INDEX(场景库!$B:$B,MATCH(F146,场景库!$A:$A,0)),1))</f>
        <v>0</v>
      </c>
      <c r="R146">
        <f>IF(G146="","",IFERROR(INDEX(场景库!$E:$E,MATCH(G146,场景库!$D:$D,0)),1))</f>
        <v>0</v>
      </c>
      <c r="S146">
        <f t="shared" si="13"/>
        <v>0</v>
      </c>
      <c r="T146">
        <f t="shared" si="14"/>
        <v>0</v>
      </c>
      <c r="U146">
        <f t="shared" si="15"/>
        <v>0</v>
      </c>
      <c r="X146">
        <f t="shared" si="16"/>
        <v>0</v>
      </c>
      <c r="Y146">
        <f t="shared" si="17"/>
        <v>0</v>
      </c>
    </row>
    <row r="147" spans="16:25">
      <c r="P147">
        <f t="shared" si="12"/>
        <v>0</v>
      </c>
      <c r="Q147">
        <f>IF(F147="","",IFERROR(INDEX(场景库!$B:$B,MATCH(F147,场景库!$A:$A,0)),1))</f>
        <v>0</v>
      </c>
      <c r="R147">
        <f>IF(G147="","",IFERROR(INDEX(场景库!$E:$E,MATCH(G147,场景库!$D:$D,0)),1))</f>
        <v>0</v>
      </c>
      <c r="S147">
        <f t="shared" si="13"/>
        <v>0</v>
      </c>
      <c r="T147">
        <f t="shared" si="14"/>
        <v>0</v>
      </c>
      <c r="U147">
        <f t="shared" si="15"/>
        <v>0</v>
      </c>
      <c r="X147">
        <f t="shared" si="16"/>
        <v>0</v>
      </c>
      <c r="Y147">
        <f t="shared" si="17"/>
        <v>0</v>
      </c>
    </row>
    <row r="148" spans="16:25">
      <c r="P148">
        <f t="shared" si="12"/>
        <v>0</v>
      </c>
      <c r="Q148">
        <f>IF(F148="","",IFERROR(INDEX(场景库!$B:$B,MATCH(F148,场景库!$A:$A,0)),1))</f>
        <v>0</v>
      </c>
      <c r="R148">
        <f>IF(G148="","",IFERROR(INDEX(场景库!$E:$E,MATCH(G148,场景库!$D:$D,0)),1))</f>
        <v>0</v>
      </c>
      <c r="S148">
        <f t="shared" si="13"/>
        <v>0</v>
      </c>
      <c r="T148">
        <f t="shared" si="14"/>
        <v>0</v>
      </c>
      <c r="U148">
        <f t="shared" si="15"/>
        <v>0</v>
      </c>
      <c r="X148">
        <f t="shared" si="16"/>
        <v>0</v>
      </c>
      <c r="Y148">
        <f t="shared" si="17"/>
        <v>0</v>
      </c>
    </row>
    <row r="149" spans="16:25">
      <c r="P149">
        <f t="shared" si="12"/>
        <v>0</v>
      </c>
      <c r="Q149">
        <f>IF(F149="","",IFERROR(INDEX(场景库!$B:$B,MATCH(F149,场景库!$A:$A,0)),1))</f>
        <v>0</v>
      </c>
      <c r="R149">
        <f>IF(G149="","",IFERROR(INDEX(场景库!$E:$E,MATCH(G149,场景库!$D:$D,0)),1))</f>
        <v>0</v>
      </c>
      <c r="S149">
        <f t="shared" si="13"/>
        <v>0</v>
      </c>
      <c r="T149">
        <f t="shared" si="14"/>
        <v>0</v>
      </c>
      <c r="U149">
        <f t="shared" si="15"/>
        <v>0</v>
      </c>
      <c r="X149">
        <f t="shared" si="16"/>
        <v>0</v>
      </c>
      <c r="Y149">
        <f t="shared" si="17"/>
        <v>0</v>
      </c>
    </row>
    <row r="150" spans="16:25">
      <c r="P150">
        <f t="shared" si="12"/>
        <v>0</v>
      </c>
      <c r="Q150">
        <f>IF(F150="","",IFERROR(INDEX(场景库!$B:$B,MATCH(F150,场景库!$A:$A,0)),1))</f>
        <v>0</v>
      </c>
      <c r="R150">
        <f>IF(G150="","",IFERROR(INDEX(场景库!$E:$E,MATCH(G150,场景库!$D:$D,0)),1))</f>
        <v>0</v>
      </c>
      <c r="S150">
        <f t="shared" si="13"/>
        <v>0</v>
      </c>
      <c r="T150">
        <f t="shared" si="14"/>
        <v>0</v>
      </c>
      <c r="U150">
        <f t="shared" si="15"/>
        <v>0</v>
      </c>
      <c r="X150">
        <f t="shared" si="16"/>
        <v>0</v>
      </c>
      <c r="Y150">
        <f t="shared" si="17"/>
        <v>0</v>
      </c>
    </row>
    <row r="151" spans="16:25">
      <c r="P151">
        <f t="shared" si="12"/>
        <v>0</v>
      </c>
      <c r="Q151">
        <f>IF(F151="","",IFERROR(INDEX(场景库!$B:$B,MATCH(F151,场景库!$A:$A,0)),1))</f>
        <v>0</v>
      </c>
      <c r="R151">
        <f>IF(G151="","",IFERROR(INDEX(场景库!$E:$E,MATCH(G151,场景库!$D:$D,0)),1))</f>
        <v>0</v>
      </c>
      <c r="S151">
        <f t="shared" si="13"/>
        <v>0</v>
      </c>
      <c r="T151">
        <f t="shared" si="14"/>
        <v>0</v>
      </c>
      <c r="U151">
        <f t="shared" si="15"/>
        <v>0</v>
      </c>
      <c r="X151">
        <f t="shared" si="16"/>
        <v>0</v>
      </c>
      <c r="Y151">
        <f t="shared" si="17"/>
        <v>0</v>
      </c>
    </row>
    <row r="152" spans="16:25">
      <c r="P152">
        <f t="shared" si="12"/>
        <v>0</v>
      </c>
      <c r="Q152">
        <f>IF(F152="","",IFERROR(INDEX(场景库!$B:$B,MATCH(F152,场景库!$A:$A,0)),1))</f>
        <v>0</v>
      </c>
      <c r="R152">
        <f>IF(G152="","",IFERROR(INDEX(场景库!$E:$E,MATCH(G152,场景库!$D:$D,0)),1))</f>
        <v>0</v>
      </c>
      <c r="S152">
        <f t="shared" si="13"/>
        <v>0</v>
      </c>
      <c r="T152">
        <f t="shared" si="14"/>
        <v>0</v>
      </c>
      <c r="U152">
        <f t="shared" si="15"/>
        <v>0</v>
      </c>
      <c r="X152">
        <f t="shared" si="16"/>
        <v>0</v>
      </c>
      <c r="Y152">
        <f t="shared" si="17"/>
        <v>0</v>
      </c>
    </row>
    <row r="153" spans="16:25">
      <c r="P153">
        <f t="shared" si="12"/>
        <v>0</v>
      </c>
      <c r="Q153">
        <f>IF(F153="","",IFERROR(INDEX(场景库!$B:$B,MATCH(F153,场景库!$A:$A,0)),1))</f>
        <v>0</v>
      </c>
      <c r="R153">
        <f>IF(G153="","",IFERROR(INDEX(场景库!$E:$E,MATCH(G153,场景库!$D:$D,0)),1))</f>
        <v>0</v>
      </c>
      <c r="S153">
        <f t="shared" si="13"/>
        <v>0</v>
      </c>
      <c r="T153">
        <f t="shared" si="14"/>
        <v>0</v>
      </c>
      <c r="U153">
        <f t="shared" si="15"/>
        <v>0</v>
      </c>
      <c r="X153">
        <f t="shared" si="16"/>
        <v>0</v>
      </c>
      <c r="Y153">
        <f t="shared" si="17"/>
        <v>0</v>
      </c>
    </row>
    <row r="154" spans="16:25">
      <c r="P154">
        <f t="shared" si="12"/>
        <v>0</v>
      </c>
      <c r="Q154">
        <f>IF(F154="","",IFERROR(INDEX(场景库!$B:$B,MATCH(F154,场景库!$A:$A,0)),1))</f>
        <v>0</v>
      </c>
      <c r="R154">
        <f>IF(G154="","",IFERROR(INDEX(场景库!$E:$E,MATCH(G154,场景库!$D:$D,0)),1))</f>
        <v>0</v>
      </c>
      <c r="S154">
        <f t="shared" si="13"/>
        <v>0</v>
      </c>
      <c r="T154">
        <f t="shared" si="14"/>
        <v>0</v>
      </c>
      <c r="U154">
        <f t="shared" si="15"/>
        <v>0</v>
      </c>
      <c r="X154">
        <f t="shared" si="16"/>
        <v>0</v>
      </c>
      <c r="Y154">
        <f t="shared" si="17"/>
        <v>0</v>
      </c>
    </row>
    <row r="155" spans="16:25">
      <c r="P155">
        <f t="shared" si="12"/>
        <v>0</v>
      </c>
      <c r="Q155">
        <f>IF(F155="","",IFERROR(INDEX(场景库!$B:$B,MATCH(F155,场景库!$A:$A,0)),1))</f>
        <v>0</v>
      </c>
      <c r="R155">
        <f>IF(G155="","",IFERROR(INDEX(场景库!$E:$E,MATCH(G155,场景库!$D:$D,0)),1))</f>
        <v>0</v>
      </c>
      <c r="S155">
        <f t="shared" si="13"/>
        <v>0</v>
      </c>
      <c r="T155">
        <f t="shared" si="14"/>
        <v>0</v>
      </c>
      <c r="U155">
        <f t="shared" si="15"/>
        <v>0</v>
      </c>
      <c r="X155">
        <f t="shared" si="16"/>
        <v>0</v>
      </c>
      <c r="Y155">
        <f t="shared" si="17"/>
        <v>0</v>
      </c>
    </row>
    <row r="156" spans="16:25">
      <c r="P156">
        <f t="shared" si="12"/>
        <v>0</v>
      </c>
      <c r="Q156">
        <f>IF(F156="","",IFERROR(INDEX(场景库!$B:$B,MATCH(F156,场景库!$A:$A,0)),1))</f>
        <v>0</v>
      </c>
      <c r="R156">
        <f>IF(G156="","",IFERROR(INDEX(场景库!$E:$E,MATCH(G156,场景库!$D:$D,0)),1))</f>
        <v>0</v>
      </c>
      <c r="S156">
        <f t="shared" si="13"/>
        <v>0</v>
      </c>
      <c r="T156">
        <f t="shared" si="14"/>
        <v>0</v>
      </c>
      <c r="U156">
        <f t="shared" si="15"/>
        <v>0</v>
      </c>
      <c r="X156">
        <f t="shared" si="16"/>
        <v>0</v>
      </c>
      <c r="Y156">
        <f t="shared" si="17"/>
        <v>0</v>
      </c>
    </row>
    <row r="157" spans="16:25">
      <c r="P157">
        <f t="shared" si="12"/>
        <v>0</v>
      </c>
      <c r="Q157">
        <f>IF(F157="","",IFERROR(INDEX(场景库!$B:$B,MATCH(F157,场景库!$A:$A,0)),1))</f>
        <v>0</v>
      </c>
      <c r="R157">
        <f>IF(G157="","",IFERROR(INDEX(场景库!$E:$E,MATCH(G157,场景库!$D:$D,0)),1))</f>
        <v>0</v>
      </c>
      <c r="S157">
        <f t="shared" si="13"/>
        <v>0</v>
      </c>
      <c r="T157">
        <f t="shared" si="14"/>
        <v>0</v>
      </c>
      <c r="U157">
        <f t="shared" si="15"/>
        <v>0</v>
      </c>
      <c r="X157">
        <f t="shared" si="16"/>
        <v>0</v>
      </c>
      <c r="Y157">
        <f t="shared" si="17"/>
        <v>0</v>
      </c>
    </row>
    <row r="158" spans="16:25">
      <c r="P158">
        <f t="shared" si="12"/>
        <v>0</v>
      </c>
      <c r="Q158">
        <f>IF(F158="","",IFERROR(INDEX(场景库!$B:$B,MATCH(F158,场景库!$A:$A,0)),1))</f>
        <v>0</v>
      </c>
      <c r="R158">
        <f>IF(G158="","",IFERROR(INDEX(场景库!$E:$E,MATCH(G158,场景库!$D:$D,0)),1))</f>
        <v>0</v>
      </c>
      <c r="S158">
        <f t="shared" si="13"/>
        <v>0</v>
      </c>
      <c r="T158">
        <f t="shared" si="14"/>
        <v>0</v>
      </c>
      <c r="U158">
        <f t="shared" si="15"/>
        <v>0</v>
      </c>
      <c r="X158">
        <f t="shared" si="16"/>
        <v>0</v>
      </c>
      <c r="Y158">
        <f t="shared" si="17"/>
        <v>0</v>
      </c>
    </row>
    <row r="159" spans="16:25">
      <c r="P159">
        <f t="shared" si="12"/>
        <v>0</v>
      </c>
      <c r="Q159">
        <f>IF(F159="","",IFERROR(INDEX(场景库!$B:$B,MATCH(F159,场景库!$A:$A,0)),1))</f>
        <v>0</v>
      </c>
      <c r="R159">
        <f>IF(G159="","",IFERROR(INDEX(场景库!$E:$E,MATCH(G159,场景库!$D:$D,0)),1))</f>
        <v>0</v>
      </c>
      <c r="S159">
        <f t="shared" si="13"/>
        <v>0</v>
      </c>
      <c r="T159">
        <f t="shared" si="14"/>
        <v>0</v>
      </c>
      <c r="U159">
        <f t="shared" si="15"/>
        <v>0</v>
      </c>
      <c r="X159">
        <f t="shared" si="16"/>
        <v>0</v>
      </c>
      <c r="Y159">
        <f t="shared" si="17"/>
        <v>0</v>
      </c>
    </row>
    <row r="160" spans="16:25">
      <c r="P160">
        <f t="shared" si="12"/>
        <v>0</v>
      </c>
      <c r="Q160">
        <f>IF(F160="","",IFERROR(INDEX(场景库!$B:$B,MATCH(F160,场景库!$A:$A,0)),1))</f>
        <v>0</v>
      </c>
      <c r="R160">
        <f>IF(G160="","",IFERROR(INDEX(场景库!$E:$E,MATCH(G160,场景库!$D:$D,0)),1))</f>
        <v>0</v>
      </c>
      <c r="S160">
        <f t="shared" si="13"/>
        <v>0</v>
      </c>
      <c r="T160">
        <f t="shared" si="14"/>
        <v>0</v>
      </c>
      <c r="U160">
        <f t="shared" si="15"/>
        <v>0</v>
      </c>
      <c r="X160">
        <f t="shared" si="16"/>
        <v>0</v>
      </c>
      <c r="Y160">
        <f t="shared" si="17"/>
        <v>0</v>
      </c>
    </row>
    <row r="161" spans="16:25">
      <c r="P161">
        <f t="shared" si="12"/>
        <v>0</v>
      </c>
      <c r="Q161">
        <f>IF(F161="","",IFERROR(INDEX(场景库!$B:$B,MATCH(F161,场景库!$A:$A,0)),1))</f>
        <v>0</v>
      </c>
      <c r="R161">
        <f>IF(G161="","",IFERROR(INDEX(场景库!$E:$E,MATCH(G161,场景库!$D:$D,0)),1))</f>
        <v>0</v>
      </c>
      <c r="S161">
        <f t="shared" si="13"/>
        <v>0</v>
      </c>
      <c r="T161">
        <f t="shared" si="14"/>
        <v>0</v>
      </c>
      <c r="U161">
        <f t="shared" si="15"/>
        <v>0</v>
      </c>
      <c r="X161">
        <f t="shared" si="16"/>
        <v>0</v>
      </c>
      <c r="Y161">
        <f t="shared" si="17"/>
        <v>0</v>
      </c>
    </row>
    <row r="162" spans="16:25">
      <c r="P162">
        <f t="shared" si="12"/>
        <v>0</v>
      </c>
      <c r="Q162">
        <f>IF(F162="","",IFERROR(INDEX(场景库!$B:$B,MATCH(F162,场景库!$A:$A,0)),1))</f>
        <v>0</v>
      </c>
      <c r="R162">
        <f>IF(G162="","",IFERROR(INDEX(场景库!$E:$E,MATCH(G162,场景库!$D:$D,0)),1))</f>
        <v>0</v>
      </c>
      <c r="S162">
        <f t="shared" si="13"/>
        <v>0</v>
      </c>
      <c r="T162">
        <f t="shared" si="14"/>
        <v>0</v>
      </c>
      <c r="U162">
        <f t="shared" si="15"/>
        <v>0</v>
      </c>
      <c r="X162">
        <f t="shared" si="16"/>
        <v>0</v>
      </c>
      <c r="Y162">
        <f t="shared" si="17"/>
        <v>0</v>
      </c>
    </row>
    <row r="163" spans="16:25">
      <c r="P163">
        <f t="shared" si="12"/>
        <v>0</v>
      </c>
      <c r="Q163">
        <f>IF(F163="","",IFERROR(INDEX(场景库!$B:$B,MATCH(F163,场景库!$A:$A,0)),1))</f>
        <v>0</v>
      </c>
      <c r="R163">
        <f>IF(G163="","",IFERROR(INDEX(场景库!$E:$E,MATCH(G163,场景库!$D:$D,0)),1))</f>
        <v>0</v>
      </c>
      <c r="S163">
        <f t="shared" si="13"/>
        <v>0</v>
      </c>
      <c r="T163">
        <f t="shared" si="14"/>
        <v>0</v>
      </c>
      <c r="U163">
        <f t="shared" si="15"/>
        <v>0</v>
      </c>
      <c r="X163">
        <f t="shared" si="16"/>
        <v>0</v>
      </c>
      <c r="Y163">
        <f t="shared" si="17"/>
        <v>0</v>
      </c>
    </row>
    <row r="164" spans="16:25">
      <c r="P164">
        <f t="shared" si="12"/>
        <v>0</v>
      </c>
      <c r="Q164">
        <f>IF(F164="","",IFERROR(INDEX(场景库!$B:$B,MATCH(F164,场景库!$A:$A,0)),1))</f>
        <v>0</v>
      </c>
      <c r="R164">
        <f>IF(G164="","",IFERROR(INDEX(场景库!$E:$E,MATCH(G164,场景库!$D:$D,0)),1))</f>
        <v>0</v>
      </c>
      <c r="S164">
        <f t="shared" si="13"/>
        <v>0</v>
      </c>
      <c r="T164">
        <f t="shared" si="14"/>
        <v>0</v>
      </c>
      <c r="U164">
        <f t="shared" si="15"/>
        <v>0</v>
      </c>
      <c r="X164">
        <f t="shared" si="16"/>
        <v>0</v>
      </c>
      <c r="Y164">
        <f t="shared" si="17"/>
        <v>0</v>
      </c>
    </row>
    <row r="165" spans="16:25">
      <c r="P165">
        <f t="shared" si="12"/>
        <v>0</v>
      </c>
      <c r="Q165">
        <f>IF(F165="","",IFERROR(INDEX(场景库!$B:$B,MATCH(F165,场景库!$A:$A,0)),1))</f>
        <v>0</v>
      </c>
      <c r="R165">
        <f>IF(G165="","",IFERROR(INDEX(场景库!$E:$E,MATCH(G165,场景库!$D:$D,0)),1))</f>
        <v>0</v>
      </c>
      <c r="S165">
        <f t="shared" si="13"/>
        <v>0</v>
      </c>
      <c r="T165">
        <f t="shared" si="14"/>
        <v>0</v>
      </c>
      <c r="U165">
        <f t="shared" si="15"/>
        <v>0</v>
      </c>
      <c r="X165">
        <f t="shared" si="16"/>
        <v>0</v>
      </c>
      <c r="Y165">
        <f t="shared" si="17"/>
        <v>0</v>
      </c>
    </row>
    <row r="166" spans="16:25">
      <c r="P166">
        <f t="shared" si="12"/>
        <v>0</v>
      </c>
      <c r="Q166">
        <f>IF(F166="","",IFERROR(INDEX(场景库!$B:$B,MATCH(F166,场景库!$A:$A,0)),1))</f>
        <v>0</v>
      </c>
      <c r="R166">
        <f>IF(G166="","",IFERROR(INDEX(场景库!$E:$E,MATCH(G166,场景库!$D:$D,0)),1))</f>
        <v>0</v>
      </c>
      <c r="S166">
        <f t="shared" si="13"/>
        <v>0</v>
      </c>
      <c r="T166">
        <f t="shared" si="14"/>
        <v>0</v>
      </c>
      <c r="U166">
        <f t="shared" si="15"/>
        <v>0</v>
      </c>
      <c r="X166">
        <f t="shared" si="16"/>
        <v>0</v>
      </c>
      <c r="Y166">
        <f t="shared" si="17"/>
        <v>0</v>
      </c>
    </row>
    <row r="167" spans="16:25">
      <c r="P167">
        <f t="shared" si="12"/>
        <v>0</v>
      </c>
      <c r="Q167">
        <f>IF(F167="","",IFERROR(INDEX(场景库!$B:$B,MATCH(F167,场景库!$A:$A,0)),1))</f>
        <v>0</v>
      </c>
      <c r="R167">
        <f>IF(G167="","",IFERROR(INDEX(场景库!$E:$E,MATCH(G167,场景库!$D:$D,0)),1))</f>
        <v>0</v>
      </c>
      <c r="S167">
        <f t="shared" si="13"/>
        <v>0</v>
      </c>
      <c r="T167">
        <f t="shared" si="14"/>
        <v>0</v>
      </c>
      <c r="U167">
        <f t="shared" si="15"/>
        <v>0</v>
      </c>
      <c r="X167">
        <f t="shared" si="16"/>
        <v>0</v>
      </c>
      <c r="Y167">
        <f t="shared" si="17"/>
        <v>0</v>
      </c>
    </row>
    <row r="168" spans="16:25">
      <c r="P168">
        <f t="shared" si="12"/>
        <v>0</v>
      </c>
      <c r="Q168">
        <f>IF(F168="","",IFERROR(INDEX(场景库!$B:$B,MATCH(F168,场景库!$A:$A,0)),1))</f>
        <v>0</v>
      </c>
      <c r="R168">
        <f>IF(G168="","",IFERROR(INDEX(场景库!$E:$E,MATCH(G168,场景库!$D:$D,0)),1))</f>
        <v>0</v>
      </c>
      <c r="S168">
        <f t="shared" si="13"/>
        <v>0</v>
      </c>
      <c r="T168">
        <f t="shared" si="14"/>
        <v>0</v>
      </c>
      <c r="U168">
        <f t="shared" si="15"/>
        <v>0</v>
      </c>
      <c r="X168">
        <f t="shared" si="16"/>
        <v>0</v>
      </c>
      <c r="Y168">
        <f t="shared" si="17"/>
        <v>0</v>
      </c>
    </row>
    <row r="169" spans="16:25">
      <c r="P169">
        <f t="shared" si="12"/>
        <v>0</v>
      </c>
      <c r="Q169">
        <f>IF(F169="","",IFERROR(INDEX(场景库!$B:$B,MATCH(F169,场景库!$A:$A,0)),1))</f>
        <v>0</v>
      </c>
      <c r="R169">
        <f>IF(G169="","",IFERROR(INDEX(场景库!$E:$E,MATCH(G169,场景库!$D:$D,0)),1))</f>
        <v>0</v>
      </c>
      <c r="S169">
        <f t="shared" si="13"/>
        <v>0</v>
      </c>
      <c r="T169">
        <f t="shared" si="14"/>
        <v>0</v>
      </c>
      <c r="U169">
        <f t="shared" si="15"/>
        <v>0</v>
      </c>
      <c r="X169">
        <f t="shared" si="16"/>
        <v>0</v>
      </c>
      <c r="Y169">
        <f t="shared" si="17"/>
        <v>0</v>
      </c>
    </row>
    <row r="170" spans="16:25">
      <c r="P170">
        <f t="shared" si="12"/>
        <v>0</v>
      </c>
      <c r="Q170">
        <f>IF(F170="","",IFERROR(INDEX(场景库!$B:$B,MATCH(F170,场景库!$A:$A,0)),1))</f>
        <v>0</v>
      </c>
      <c r="R170">
        <f>IF(G170="","",IFERROR(INDEX(场景库!$E:$E,MATCH(G170,场景库!$D:$D,0)),1))</f>
        <v>0</v>
      </c>
      <c r="S170">
        <f t="shared" si="13"/>
        <v>0</v>
      </c>
      <c r="T170">
        <f t="shared" si="14"/>
        <v>0</v>
      </c>
      <c r="U170">
        <f t="shared" si="15"/>
        <v>0</v>
      </c>
      <c r="X170">
        <f t="shared" si="16"/>
        <v>0</v>
      </c>
      <c r="Y170">
        <f t="shared" si="17"/>
        <v>0</v>
      </c>
    </row>
    <row r="171" spans="16:25">
      <c r="P171">
        <f t="shared" si="12"/>
        <v>0</v>
      </c>
      <c r="Q171">
        <f>IF(F171="","",IFERROR(INDEX(场景库!$B:$B,MATCH(F171,场景库!$A:$A,0)),1))</f>
        <v>0</v>
      </c>
      <c r="R171">
        <f>IF(G171="","",IFERROR(INDEX(场景库!$E:$E,MATCH(G171,场景库!$D:$D,0)),1))</f>
        <v>0</v>
      </c>
      <c r="S171">
        <f t="shared" si="13"/>
        <v>0</v>
      </c>
      <c r="T171">
        <f t="shared" si="14"/>
        <v>0</v>
      </c>
      <c r="U171">
        <f t="shared" si="15"/>
        <v>0</v>
      </c>
      <c r="X171">
        <f t="shared" si="16"/>
        <v>0</v>
      </c>
      <c r="Y171">
        <f t="shared" si="17"/>
        <v>0</v>
      </c>
    </row>
    <row r="172" spans="16:25">
      <c r="P172">
        <f t="shared" si="12"/>
        <v>0</v>
      </c>
      <c r="Q172">
        <f>IF(F172="","",IFERROR(INDEX(场景库!$B:$B,MATCH(F172,场景库!$A:$A,0)),1))</f>
        <v>0</v>
      </c>
      <c r="R172">
        <f>IF(G172="","",IFERROR(INDEX(场景库!$E:$E,MATCH(G172,场景库!$D:$D,0)),1))</f>
        <v>0</v>
      </c>
      <c r="S172">
        <f t="shared" si="13"/>
        <v>0</v>
      </c>
      <c r="T172">
        <f t="shared" si="14"/>
        <v>0</v>
      </c>
      <c r="U172">
        <f t="shared" si="15"/>
        <v>0</v>
      </c>
      <c r="X172">
        <f t="shared" si="16"/>
        <v>0</v>
      </c>
      <c r="Y172">
        <f t="shared" si="17"/>
        <v>0</v>
      </c>
    </row>
    <row r="173" spans="16:25">
      <c r="P173">
        <f t="shared" si="12"/>
        <v>0</v>
      </c>
      <c r="Q173">
        <f>IF(F173="","",IFERROR(INDEX(场景库!$B:$B,MATCH(F173,场景库!$A:$A,0)),1))</f>
        <v>0</v>
      </c>
      <c r="R173">
        <f>IF(G173="","",IFERROR(INDEX(场景库!$E:$E,MATCH(G173,场景库!$D:$D,0)),1))</f>
        <v>0</v>
      </c>
      <c r="S173">
        <f t="shared" si="13"/>
        <v>0</v>
      </c>
      <c r="T173">
        <f t="shared" si="14"/>
        <v>0</v>
      </c>
      <c r="U173">
        <f t="shared" si="15"/>
        <v>0</v>
      </c>
      <c r="X173">
        <f t="shared" si="16"/>
        <v>0</v>
      </c>
      <c r="Y173">
        <f t="shared" si="17"/>
        <v>0</v>
      </c>
    </row>
    <row r="174" spans="16:25">
      <c r="P174">
        <f t="shared" si="12"/>
        <v>0</v>
      </c>
      <c r="Q174">
        <f>IF(F174="","",IFERROR(INDEX(场景库!$B:$B,MATCH(F174,场景库!$A:$A,0)),1))</f>
        <v>0</v>
      </c>
      <c r="R174">
        <f>IF(G174="","",IFERROR(INDEX(场景库!$E:$E,MATCH(G174,场景库!$D:$D,0)),1))</f>
        <v>0</v>
      </c>
      <c r="S174">
        <f t="shared" si="13"/>
        <v>0</v>
      </c>
      <c r="T174">
        <f t="shared" si="14"/>
        <v>0</v>
      </c>
      <c r="U174">
        <f t="shared" si="15"/>
        <v>0</v>
      </c>
      <c r="X174">
        <f t="shared" si="16"/>
        <v>0</v>
      </c>
      <c r="Y174">
        <f t="shared" si="17"/>
        <v>0</v>
      </c>
    </row>
    <row r="175" spans="16:25">
      <c r="P175">
        <f t="shared" si="12"/>
        <v>0</v>
      </c>
      <c r="Q175">
        <f>IF(F175="","",IFERROR(INDEX(场景库!$B:$B,MATCH(F175,场景库!$A:$A,0)),1))</f>
        <v>0</v>
      </c>
      <c r="R175">
        <f>IF(G175="","",IFERROR(INDEX(场景库!$E:$E,MATCH(G175,场景库!$D:$D,0)),1))</f>
        <v>0</v>
      </c>
      <c r="S175">
        <f t="shared" si="13"/>
        <v>0</v>
      </c>
      <c r="T175">
        <f t="shared" si="14"/>
        <v>0</v>
      </c>
      <c r="U175">
        <f t="shared" si="15"/>
        <v>0</v>
      </c>
      <c r="X175">
        <f t="shared" si="16"/>
        <v>0</v>
      </c>
      <c r="Y175">
        <f t="shared" si="17"/>
        <v>0</v>
      </c>
    </row>
    <row r="176" spans="16:25">
      <c r="P176">
        <f t="shared" si="12"/>
        <v>0</v>
      </c>
      <c r="Q176">
        <f>IF(F176="","",IFERROR(INDEX(场景库!$B:$B,MATCH(F176,场景库!$A:$A,0)),1))</f>
        <v>0</v>
      </c>
      <c r="R176">
        <f>IF(G176="","",IFERROR(INDEX(场景库!$E:$E,MATCH(G176,场景库!$D:$D,0)),1))</f>
        <v>0</v>
      </c>
      <c r="S176">
        <f t="shared" si="13"/>
        <v>0</v>
      </c>
      <c r="T176">
        <f t="shared" si="14"/>
        <v>0</v>
      </c>
      <c r="U176">
        <f t="shared" si="15"/>
        <v>0</v>
      </c>
      <c r="X176">
        <f t="shared" si="16"/>
        <v>0</v>
      </c>
      <c r="Y176">
        <f t="shared" si="17"/>
        <v>0</v>
      </c>
    </row>
    <row r="177" spans="16:25">
      <c r="P177">
        <f t="shared" si="12"/>
        <v>0</v>
      </c>
      <c r="Q177">
        <f>IF(F177="","",IFERROR(INDEX(场景库!$B:$B,MATCH(F177,场景库!$A:$A,0)),1))</f>
        <v>0</v>
      </c>
      <c r="R177">
        <f>IF(G177="","",IFERROR(INDEX(场景库!$E:$E,MATCH(G177,场景库!$D:$D,0)),1))</f>
        <v>0</v>
      </c>
      <c r="S177">
        <f t="shared" si="13"/>
        <v>0</v>
      </c>
      <c r="T177">
        <f t="shared" si="14"/>
        <v>0</v>
      </c>
      <c r="U177">
        <f t="shared" si="15"/>
        <v>0</v>
      </c>
      <c r="X177">
        <f t="shared" si="16"/>
        <v>0</v>
      </c>
      <c r="Y177">
        <f t="shared" si="17"/>
        <v>0</v>
      </c>
    </row>
    <row r="178" spans="16:25">
      <c r="P178">
        <f t="shared" si="12"/>
        <v>0</v>
      </c>
      <c r="Q178">
        <f>IF(F178="","",IFERROR(INDEX(场景库!$B:$B,MATCH(F178,场景库!$A:$A,0)),1))</f>
        <v>0</v>
      </c>
      <c r="R178">
        <f>IF(G178="","",IFERROR(INDEX(场景库!$E:$E,MATCH(G178,场景库!$D:$D,0)),1))</f>
        <v>0</v>
      </c>
      <c r="S178">
        <f t="shared" si="13"/>
        <v>0</v>
      </c>
      <c r="T178">
        <f t="shared" si="14"/>
        <v>0</v>
      </c>
      <c r="U178">
        <f t="shared" si="15"/>
        <v>0</v>
      </c>
      <c r="X178">
        <f t="shared" si="16"/>
        <v>0</v>
      </c>
      <c r="Y178">
        <f t="shared" si="17"/>
        <v>0</v>
      </c>
    </row>
    <row r="179" spans="16:25">
      <c r="P179">
        <f t="shared" si="12"/>
        <v>0</v>
      </c>
      <c r="Q179">
        <f>IF(F179="","",IFERROR(INDEX(场景库!$B:$B,MATCH(F179,场景库!$A:$A,0)),1))</f>
        <v>0</v>
      </c>
      <c r="R179">
        <f>IF(G179="","",IFERROR(INDEX(场景库!$E:$E,MATCH(G179,场景库!$D:$D,0)),1))</f>
        <v>0</v>
      </c>
      <c r="S179">
        <f t="shared" si="13"/>
        <v>0</v>
      </c>
      <c r="T179">
        <f t="shared" si="14"/>
        <v>0</v>
      </c>
      <c r="U179">
        <f t="shared" si="15"/>
        <v>0</v>
      </c>
      <c r="X179">
        <f t="shared" si="16"/>
        <v>0</v>
      </c>
      <c r="Y179">
        <f t="shared" si="17"/>
        <v>0</v>
      </c>
    </row>
    <row r="180" spans="16:25">
      <c r="P180">
        <f t="shared" si="12"/>
        <v>0</v>
      </c>
      <c r="Q180">
        <f>IF(F180="","",IFERROR(INDEX(场景库!$B:$B,MATCH(F180,场景库!$A:$A,0)),1))</f>
        <v>0</v>
      </c>
      <c r="R180">
        <f>IF(G180="","",IFERROR(INDEX(场景库!$E:$E,MATCH(G180,场景库!$D:$D,0)),1))</f>
        <v>0</v>
      </c>
      <c r="S180">
        <f t="shared" si="13"/>
        <v>0</v>
      </c>
      <c r="T180">
        <f t="shared" si="14"/>
        <v>0</v>
      </c>
      <c r="U180">
        <f t="shared" si="15"/>
        <v>0</v>
      </c>
      <c r="X180">
        <f t="shared" si="16"/>
        <v>0</v>
      </c>
      <c r="Y180">
        <f t="shared" si="17"/>
        <v>0</v>
      </c>
    </row>
    <row r="181" spans="16:25">
      <c r="P181">
        <f t="shared" si="12"/>
        <v>0</v>
      </c>
      <c r="Q181">
        <f>IF(F181="","",IFERROR(INDEX(场景库!$B:$B,MATCH(F181,场景库!$A:$A,0)),1))</f>
        <v>0</v>
      </c>
      <c r="R181">
        <f>IF(G181="","",IFERROR(INDEX(场景库!$E:$E,MATCH(G181,场景库!$D:$D,0)),1))</f>
        <v>0</v>
      </c>
      <c r="S181">
        <f t="shared" si="13"/>
        <v>0</v>
      </c>
      <c r="T181">
        <f t="shared" si="14"/>
        <v>0</v>
      </c>
      <c r="U181">
        <f t="shared" si="15"/>
        <v>0</v>
      </c>
      <c r="X181">
        <f t="shared" si="16"/>
        <v>0</v>
      </c>
      <c r="Y181">
        <f t="shared" si="17"/>
        <v>0</v>
      </c>
    </row>
    <row r="182" spans="16:25">
      <c r="P182">
        <f t="shared" si="12"/>
        <v>0</v>
      </c>
      <c r="Q182">
        <f>IF(F182="","",IFERROR(INDEX(场景库!$B:$B,MATCH(F182,场景库!$A:$A,0)),1))</f>
        <v>0</v>
      </c>
      <c r="R182">
        <f>IF(G182="","",IFERROR(INDEX(场景库!$E:$E,MATCH(G182,场景库!$D:$D,0)),1))</f>
        <v>0</v>
      </c>
      <c r="S182">
        <f t="shared" si="13"/>
        <v>0</v>
      </c>
      <c r="T182">
        <f t="shared" si="14"/>
        <v>0</v>
      </c>
      <c r="U182">
        <f t="shared" si="15"/>
        <v>0</v>
      </c>
      <c r="X182">
        <f t="shared" si="16"/>
        <v>0</v>
      </c>
      <c r="Y182">
        <f t="shared" si="17"/>
        <v>0</v>
      </c>
    </row>
    <row r="183" spans="16:25">
      <c r="P183">
        <f t="shared" si="12"/>
        <v>0</v>
      </c>
      <c r="Q183">
        <f>IF(F183="","",IFERROR(INDEX(场景库!$B:$B,MATCH(F183,场景库!$A:$A,0)),1))</f>
        <v>0</v>
      </c>
      <c r="R183">
        <f>IF(G183="","",IFERROR(INDEX(场景库!$E:$E,MATCH(G183,场景库!$D:$D,0)),1))</f>
        <v>0</v>
      </c>
      <c r="S183">
        <f t="shared" si="13"/>
        <v>0</v>
      </c>
      <c r="T183">
        <f t="shared" si="14"/>
        <v>0</v>
      </c>
      <c r="U183">
        <f t="shared" si="15"/>
        <v>0</v>
      </c>
      <c r="X183">
        <f t="shared" si="16"/>
        <v>0</v>
      </c>
      <c r="Y183">
        <f t="shared" si="17"/>
        <v>0</v>
      </c>
    </row>
    <row r="184" spans="16:25">
      <c r="P184">
        <f t="shared" si="12"/>
        <v>0</v>
      </c>
      <c r="Q184">
        <f>IF(F184="","",IFERROR(INDEX(场景库!$B:$B,MATCH(F184,场景库!$A:$A,0)),1))</f>
        <v>0</v>
      </c>
      <c r="R184">
        <f>IF(G184="","",IFERROR(INDEX(场景库!$E:$E,MATCH(G184,场景库!$D:$D,0)),1))</f>
        <v>0</v>
      </c>
      <c r="S184">
        <f t="shared" si="13"/>
        <v>0</v>
      </c>
      <c r="T184">
        <f t="shared" si="14"/>
        <v>0</v>
      </c>
      <c r="U184">
        <f t="shared" si="15"/>
        <v>0</v>
      </c>
      <c r="X184">
        <f t="shared" si="16"/>
        <v>0</v>
      </c>
      <c r="Y184">
        <f t="shared" si="17"/>
        <v>0</v>
      </c>
    </row>
    <row r="185" spans="16:25">
      <c r="P185">
        <f t="shared" si="12"/>
        <v>0</v>
      </c>
      <c r="Q185">
        <f>IF(F185="","",IFERROR(INDEX(场景库!$B:$B,MATCH(F185,场景库!$A:$A,0)),1))</f>
        <v>0</v>
      </c>
      <c r="R185">
        <f>IF(G185="","",IFERROR(INDEX(场景库!$E:$E,MATCH(G185,场景库!$D:$D,0)),1))</f>
        <v>0</v>
      </c>
      <c r="S185">
        <f t="shared" si="13"/>
        <v>0</v>
      </c>
      <c r="T185">
        <f t="shared" si="14"/>
        <v>0</v>
      </c>
      <c r="U185">
        <f t="shared" si="15"/>
        <v>0</v>
      </c>
      <c r="X185">
        <f t="shared" si="16"/>
        <v>0</v>
      </c>
      <c r="Y185">
        <f t="shared" si="17"/>
        <v>0</v>
      </c>
    </row>
    <row r="186" spans="16:25">
      <c r="P186">
        <f t="shared" si="12"/>
        <v>0</v>
      </c>
      <c r="Q186">
        <f>IF(F186="","",IFERROR(INDEX(场景库!$B:$B,MATCH(F186,场景库!$A:$A,0)),1))</f>
        <v>0</v>
      </c>
      <c r="R186">
        <f>IF(G186="","",IFERROR(INDEX(场景库!$E:$E,MATCH(G186,场景库!$D:$D,0)),1))</f>
        <v>0</v>
      </c>
      <c r="S186">
        <f t="shared" si="13"/>
        <v>0</v>
      </c>
      <c r="T186">
        <f t="shared" si="14"/>
        <v>0</v>
      </c>
      <c r="U186">
        <f t="shared" si="15"/>
        <v>0</v>
      </c>
      <c r="X186">
        <f t="shared" si="16"/>
        <v>0</v>
      </c>
      <c r="Y186">
        <f t="shared" si="17"/>
        <v>0</v>
      </c>
    </row>
    <row r="187" spans="16:25">
      <c r="P187">
        <f t="shared" si="12"/>
        <v>0</v>
      </c>
      <c r="Q187">
        <f>IF(F187="","",IFERROR(INDEX(场景库!$B:$B,MATCH(F187,场景库!$A:$A,0)),1))</f>
        <v>0</v>
      </c>
      <c r="R187">
        <f>IF(G187="","",IFERROR(INDEX(场景库!$E:$E,MATCH(G187,场景库!$D:$D,0)),1))</f>
        <v>0</v>
      </c>
      <c r="S187">
        <f t="shared" si="13"/>
        <v>0</v>
      </c>
      <c r="T187">
        <f t="shared" si="14"/>
        <v>0</v>
      </c>
      <c r="U187">
        <f t="shared" si="15"/>
        <v>0</v>
      </c>
      <c r="X187">
        <f t="shared" si="16"/>
        <v>0</v>
      </c>
      <c r="Y187">
        <f t="shared" si="17"/>
        <v>0</v>
      </c>
    </row>
    <row r="188" spans="16:25">
      <c r="P188">
        <f t="shared" si="12"/>
        <v>0</v>
      </c>
      <c r="Q188">
        <f>IF(F188="","",IFERROR(INDEX(场景库!$B:$B,MATCH(F188,场景库!$A:$A,0)),1))</f>
        <v>0</v>
      </c>
      <c r="R188">
        <f>IF(G188="","",IFERROR(INDEX(场景库!$E:$E,MATCH(G188,场景库!$D:$D,0)),1))</f>
        <v>0</v>
      </c>
      <c r="S188">
        <f t="shared" si="13"/>
        <v>0</v>
      </c>
      <c r="T188">
        <f t="shared" si="14"/>
        <v>0</v>
      </c>
      <c r="U188">
        <f t="shared" si="15"/>
        <v>0</v>
      </c>
      <c r="X188">
        <f t="shared" si="16"/>
        <v>0</v>
      </c>
      <c r="Y188">
        <f t="shared" si="17"/>
        <v>0</v>
      </c>
    </row>
    <row r="189" spans="16:25">
      <c r="P189">
        <f t="shared" si="12"/>
        <v>0</v>
      </c>
      <c r="Q189">
        <f>IF(F189="","",IFERROR(INDEX(场景库!$B:$B,MATCH(F189,场景库!$A:$A,0)),1))</f>
        <v>0</v>
      </c>
      <c r="R189">
        <f>IF(G189="","",IFERROR(INDEX(场景库!$E:$E,MATCH(G189,场景库!$D:$D,0)),1))</f>
        <v>0</v>
      </c>
      <c r="S189">
        <f t="shared" si="13"/>
        <v>0</v>
      </c>
      <c r="T189">
        <f t="shared" si="14"/>
        <v>0</v>
      </c>
      <c r="U189">
        <f t="shared" si="15"/>
        <v>0</v>
      </c>
      <c r="X189">
        <f t="shared" si="16"/>
        <v>0</v>
      </c>
      <c r="Y189">
        <f t="shared" si="17"/>
        <v>0</v>
      </c>
    </row>
    <row r="190" spans="16:25">
      <c r="P190">
        <f t="shared" si="12"/>
        <v>0</v>
      </c>
      <c r="Q190">
        <f>IF(F190="","",IFERROR(INDEX(场景库!$B:$B,MATCH(F190,场景库!$A:$A,0)),1))</f>
        <v>0</v>
      </c>
      <c r="R190">
        <f>IF(G190="","",IFERROR(INDEX(场景库!$E:$E,MATCH(G190,场景库!$D:$D,0)),1))</f>
        <v>0</v>
      </c>
      <c r="S190">
        <f t="shared" si="13"/>
        <v>0</v>
      </c>
      <c r="T190">
        <f t="shared" si="14"/>
        <v>0</v>
      </c>
      <c r="U190">
        <f t="shared" si="15"/>
        <v>0</v>
      </c>
      <c r="X190">
        <f t="shared" si="16"/>
        <v>0</v>
      </c>
      <c r="Y190">
        <f t="shared" si="17"/>
        <v>0</v>
      </c>
    </row>
    <row r="191" spans="16:25">
      <c r="P191">
        <f t="shared" si="12"/>
        <v>0</v>
      </c>
      <c r="Q191">
        <f>IF(F191="","",IFERROR(INDEX(场景库!$B:$B,MATCH(F191,场景库!$A:$A,0)),1))</f>
        <v>0</v>
      </c>
      <c r="R191">
        <f>IF(G191="","",IFERROR(INDEX(场景库!$E:$E,MATCH(G191,场景库!$D:$D,0)),1))</f>
        <v>0</v>
      </c>
      <c r="S191">
        <f t="shared" si="13"/>
        <v>0</v>
      </c>
      <c r="T191">
        <f t="shared" si="14"/>
        <v>0</v>
      </c>
      <c r="U191">
        <f t="shared" si="15"/>
        <v>0</v>
      </c>
      <c r="X191">
        <f t="shared" si="16"/>
        <v>0</v>
      </c>
      <c r="Y191">
        <f t="shared" si="17"/>
        <v>0</v>
      </c>
    </row>
    <row r="192" spans="16:25">
      <c r="P192">
        <f t="shared" si="12"/>
        <v>0</v>
      </c>
      <c r="Q192">
        <f>IF(F192="","",IFERROR(INDEX(场景库!$B:$B,MATCH(F192,场景库!$A:$A,0)),1))</f>
        <v>0</v>
      </c>
      <c r="R192">
        <f>IF(G192="","",IFERROR(INDEX(场景库!$E:$E,MATCH(G192,场景库!$D:$D,0)),1))</f>
        <v>0</v>
      </c>
      <c r="S192">
        <f t="shared" si="13"/>
        <v>0</v>
      </c>
      <c r="T192">
        <f t="shared" si="14"/>
        <v>0</v>
      </c>
      <c r="U192">
        <f t="shared" si="15"/>
        <v>0</v>
      </c>
      <c r="X192">
        <f t="shared" si="16"/>
        <v>0</v>
      </c>
      <c r="Y192">
        <f t="shared" si="17"/>
        <v>0</v>
      </c>
    </row>
    <row r="193" spans="16:25">
      <c r="P193">
        <f t="shared" si="12"/>
        <v>0</v>
      </c>
      <c r="Q193">
        <f>IF(F193="","",IFERROR(INDEX(场景库!$B:$B,MATCH(F193,场景库!$A:$A,0)),1))</f>
        <v>0</v>
      </c>
      <c r="R193">
        <f>IF(G193="","",IFERROR(INDEX(场景库!$E:$E,MATCH(G193,场景库!$D:$D,0)),1))</f>
        <v>0</v>
      </c>
      <c r="S193">
        <f t="shared" si="13"/>
        <v>0</v>
      </c>
      <c r="T193">
        <f t="shared" si="14"/>
        <v>0</v>
      </c>
      <c r="U193">
        <f t="shared" si="15"/>
        <v>0</v>
      </c>
      <c r="X193">
        <f t="shared" si="16"/>
        <v>0</v>
      </c>
      <c r="Y193">
        <f t="shared" si="17"/>
        <v>0</v>
      </c>
    </row>
    <row r="194" spans="16:25">
      <c r="P194">
        <f t="shared" ref="P194:P257" si="18">IF(COUNTA(I194:O194)=0,"",ROUND((I194*0.15+J194*0.15+K194*0.25+L194*0.25+O194*0.1+(6-M194)*0.05+(6-N194)*0.05)/5*100,1))</f>
        <v>0</v>
      </c>
      <c r="Q194">
        <f>IF(F194="","",IFERROR(INDEX(场景库!$B:$B,MATCH(F194,场景库!$A:$A,0)),1))</f>
        <v>0</v>
      </c>
      <c r="R194">
        <f>IF(G194="","",IFERROR(INDEX(场景库!$E:$E,MATCH(G194,场景库!$D:$D,0)),1))</f>
        <v>0</v>
      </c>
      <c r="S194">
        <f t="shared" ref="S194:S257" si="19">IF(P194="","",ROUND(MIN(100,P194*Q194*R194),1))</f>
        <v>0</v>
      </c>
      <c r="T194">
        <f t="shared" ref="T194:T257" si="20">IF(S194="","",ROUND(100-S194,1))</f>
        <v>0</v>
      </c>
      <c r="U194">
        <f t="shared" ref="U194:U257" si="21">IF(X194="","",IF(X194&gt;=80,"严重",IF(X194&gt;=60,"高",IF(X194&gt;=40,"中","低"))))</f>
        <v>0</v>
      </c>
      <c r="X194">
        <f t="shared" ref="X194:X257" si="22">IF(S194="","",IF(W194="",S194,W194))</f>
        <v>0</v>
      </c>
      <c r="Y194">
        <f t="shared" ref="Y194:Y257" si="23">IF(X194="","",ROUND(100-X194,1))</f>
        <v>0</v>
      </c>
    </row>
    <row r="195" spans="16:25">
      <c r="P195">
        <f t="shared" si="18"/>
        <v>0</v>
      </c>
      <c r="Q195">
        <f>IF(F195="","",IFERROR(INDEX(场景库!$B:$B,MATCH(F195,场景库!$A:$A,0)),1))</f>
        <v>0</v>
      </c>
      <c r="R195">
        <f>IF(G195="","",IFERROR(INDEX(场景库!$E:$E,MATCH(G195,场景库!$D:$D,0)),1))</f>
        <v>0</v>
      </c>
      <c r="S195">
        <f t="shared" si="19"/>
        <v>0</v>
      </c>
      <c r="T195">
        <f t="shared" si="20"/>
        <v>0</v>
      </c>
      <c r="U195">
        <f t="shared" si="21"/>
        <v>0</v>
      </c>
      <c r="X195">
        <f t="shared" si="22"/>
        <v>0</v>
      </c>
      <c r="Y195">
        <f t="shared" si="23"/>
        <v>0</v>
      </c>
    </row>
    <row r="196" spans="16:25">
      <c r="P196">
        <f t="shared" si="18"/>
        <v>0</v>
      </c>
      <c r="Q196">
        <f>IF(F196="","",IFERROR(INDEX(场景库!$B:$B,MATCH(F196,场景库!$A:$A,0)),1))</f>
        <v>0</v>
      </c>
      <c r="R196">
        <f>IF(G196="","",IFERROR(INDEX(场景库!$E:$E,MATCH(G196,场景库!$D:$D,0)),1))</f>
        <v>0</v>
      </c>
      <c r="S196">
        <f t="shared" si="19"/>
        <v>0</v>
      </c>
      <c r="T196">
        <f t="shared" si="20"/>
        <v>0</v>
      </c>
      <c r="U196">
        <f t="shared" si="21"/>
        <v>0</v>
      </c>
      <c r="X196">
        <f t="shared" si="22"/>
        <v>0</v>
      </c>
      <c r="Y196">
        <f t="shared" si="23"/>
        <v>0</v>
      </c>
    </row>
    <row r="197" spans="16:25">
      <c r="P197">
        <f t="shared" si="18"/>
        <v>0</v>
      </c>
      <c r="Q197">
        <f>IF(F197="","",IFERROR(INDEX(场景库!$B:$B,MATCH(F197,场景库!$A:$A,0)),1))</f>
        <v>0</v>
      </c>
      <c r="R197">
        <f>IF(G197="","",IFERROR(INDEX(场景库!$E:$E,MATCH(G197,场景库!$D:$D,0)),1))</f>
        <v>0</v>
      </c>
      <c r="S197">
        <f t="shared" si="19"/>
        <v>0</v>
      </c>
      <c r="T197">
        <f t="shared" si="20"/>
        <v>0</v>
      </c>
      <c r="U197">
        <f t="shared" si="21"/>
        <v>0</v>
      </c>
      <c r="X197">
        <f t="shared" si="22"/>
        <v>0</v>
      </c>
      <c r="Y197">
        <f t="shared" si="23"/>
        <v>0</v>
      </c>
    </row>
    <row r="198" spans="16:25">
      <c r="P198">
        <f t="shared" si="18"/>
        <v>0</v>
      </c>
      <c r="Q198">
        <f>IF(F198="","",IFERROR(INDEX(场景库!$B:$B,MATCH(F198,场景库!$A:$A,0)),1))</f>
        <v>0</v>
      </c>
      <c r="R198">
        <f>IF(G198="","",IFERROR(INDEX(场景库!$E:$E,MATCH(G198,场景库!$D:$D,0)),1))</f>
        <v>0</v>
      </c>
      <c r="S198">
        <f t="shared" si="19"/>
        <v>0</v>
      </c>
      <c r="T198">
        <f t="shared" si="20"/>
        <v>0</v>
      </c>
      <c r="U198">
        <f t="shared" si="21"/>
        <v>0</v>
      </c>
      <c r="X198">
        <f t="shared" si="22"/>
        <v>0</v>
      </c>
      <c r="Y198">
        <f t="shared" si="23"/>
        <v>0</v>
      </c>
    </row>
    <row r="199" spans="16:25">
      <c r="P199">
        <f t="shared" si="18"/>
        <v>0</v>
      </c>
      <c r="Q199">
        <f>IF(F199="","",IFERROR(INDEX(场景库!$B:$B,MATCH(F199,场景库!$A:$A,0)),1))</f>
        <v>0</v>
      </c>
      <c r="R199">
        <f>IF(G199="","",IFERROR(INDEX(场景库!$E:$E,MATCH(G199,场景库!$D:$D,0)),1))</f>
        <v>0</v>
      </c>
      <c r="S199">
        <f t="shared" si="19"/>
        <v>0</v>
      </c>
      <c r="T199">
        <f t="shared" si="20"/>
        <v>0</v>
      </c>
      <c r="U199">
        <f t="shared" si="21"/>
        <v>0</v>
      </c>
      <c r="X199">
        <f t="shared" si="22"/>
        <v>0</v>
      </c>
      <c r="Y199">
        <f t="shared" si="23"/>
        <v>0</v>
      </c>
    </row>
    <row r="200" spans="16:25">
      <c r="P200">
        <f t="shared" si="18"/>
        <v>0</v>
      </c>
      <c r="Q200">
        <f>IF(F200="","",IFERROR(INDEX(场景库!$B:$B,MATCH(F200,场景库!$A:$A,0)),1))</f>
        <v>0</v>
      </c>
      <c r="R200">
        <f>IF(G200="","",IFERROR(INDEX(场景库!$E:$E,MATCH(G200,场景库!$D:$D,0)),1))</f>
        <v>0</v>
      </c>
      <c r="S200">
        <f t="shared" si="19"/>
        <v>0</v>
      </c>
      <c r="T200">
        <f t="shared" si="20"/>
        <v>0</v>
      </c>
      <c r="U200">
        <f t="shared" si="21"/>
        <v>0</v>
      </c>
      <c r="X200">
        <f t="shared" si="22"/>
        <v>0</v>
      </c>
      <c r="Y200">
        <f t="shared" si="23"/>
        <v>0</v>
      </c>
    </row>
    <row r="201" spans="16:25">
      <c r="P201">
        <f t="shared" si="18"/>
        <v>0</v>
      </c>
      <c r="Q201">
        <f>IF(F201="","",IFERROR(INDEX(场景库!$B:$B,MATCH(F201,场景库!$A:$A,0)),1))</f>
        <v>0</v>
      </c>
      <c r="R201">
        <f>IF(G201="","",IFERROR(INDEX(场景库!$E:$E,MATCH(G201,场景库!$D:$D,0)),1))</f>
        <v>0</v>
      </c>
      <c r="S201">
        <f t="shared" si="19"/>
        <v>0</v>
      </c>
      <c r="T201">
        <f t="shared" si="20"/>
        <v>0</v>
      </c>
      <c r="U201">
        <f t="shared" si="21"/>
        <v>0</v>
      </c>
      <c r="X201">
        <f t="shared" si="22"/>
        <v>0</v>
      </c>
      <c r="Y201">
        <f t="shared" si="23"/>
        <v>0</v>
      </c>
    </row>
    <row r="202" spans="16:25">
      <c r="P202">
        <f t="shared" si="18"/>
        <v>0</v>
      </c>
      <c r="Q202">
        <f>IF(F202="","",IFERROR(INDEX(场景库!$B:$B,MATCH(F202,场景库!$A:$A,0)),1))</f>
        <v>0</v>
      </c>
      <c r="R202">
        <f>IF(G202="","",IFERROR(INDEX(场景库!$E:$E,MATCH(G202,场景库!$D:$D,0)),1))</f>
        <v>0</v>
      </c>
      <c r="S202">
        <f t="shared" si="19"/>
        <v>0</v>
      </c>
      <c r="T202">
        <f t="shared" si="20"/>
        <v>0</v>
      </c>
      <c r="U202">
        <f t="shared" si="21"/>
        <v>0</v>
      </c>
      <c r="X202">
        <f t="shared" si="22"/>
        <v>0</v>
      </c>
      <c r="Y202">
        <f t="shared" si="23"/>
        <v>0</v>
      </c>
    </row>
    <row r="203" spans="16:25">
      <c r="P203">
        <f t="shared" si="18"/>
        <v>0</v>
      </c>
      <c r="Q203">
        <f>IF(F203="","",IFERROR(INDEX(场景库!$B:$B,MATCH(F203,场景库!$A:$A,0)),1))</f>
        <v>0</v>
      </c>
      <c r="R203">
        <f>IF(G203="","",IFERROR(INDEX(场景库!$E:$E,MATCH(G203,场景库!$D:$D,0)),1))</f>
        <v>0</v>
      </c>
      <c r="S203">
        <f t="shared" si="19"/>
        <v>0</v>
      </c>
      <c r="T203">
        <f t="shared" si="20"/>
        <v>0</v>
      </c>
      <c r="U203">
        <f t="shared" si="21"/>
        <v>0</v>
      </c>
      <c r="X203">
        <f t="shared" si="22"/>
        <v>0</v>
      </c>
      <c r="Y203">
        <f t="shared" si="23"/>
        <v>0</v>
      </c>
    </row>
    <row r="204" spans="16:25">
      <c r="P204">
        <f t="shared" si="18"/>
        <v>0</v>
      </c>
      <c r="Q204">
        <f>IF(F204="","",IFERROR(INDEX(场景库!$B:$B,MATCH(F204,场景库!$A:$A,0)),1))</f>
        <v>0</v>
      </c>
      <c r="R204">
        <f>IF(G204="","",IFERROR(INDEX(场景库!$E:$E,MATCH(G204,场景库!$D:$D,0)),1))</f>
        <v>0</v>
      </c>
      <c r="S204">
        <f t="shared" si="19"/>
        <v>0</v>
      </c>
      <c r="T204">
        <f t="shared" si="20"/>
        <v>0</v>
      </c>
      <c r="U204">
        <f t="shared" si="21"/>
        <v>0</v>
      </c>
      <c r="X204">
        <f t="shared" si="22"/>
        <v>0</v>
      </c>
      <c r="Y204">
        <f t="shared" si="23"/>
        <v>0</v>
      </c>
    </row>
    <row r="205" spans="16:25">
      <c r="P205">
        <f t="shared" si="18"/>
        <v>0</v>
      </c>
      <c r="Q205">
        <f>IF(F205="","",IFERROR(INDEX(场景库!$B:$B,MATCH(F205,场景库!$A:$A,0)),1))</f>
        <v>0</v>
      </c>
      <c r="R205">
        <f>IF(G205="","",IFERROR(INDEX(场景库!$E:$E,MATCH(G205,场景库!$D:$D,0)),1))</f>
        <v>0</v>
      </c>
      <c r="S205">
        <f t="shared" si="19"/>
        <v>0</v>
      </c>
      <c r="T205">
        <f t="shared" si="20"/>
        <v>0</v>
      </c>
      <c r="U205">
        <f t="shared" si="21"/>
        <v>0</v>
      </c>
      <c r="X205">
        <f t="shared" si="22"/>
        <v>0</v>
      </c>
      <c r="Y205">
        <f t="shared" si="23"/>
        <v>0</v>
      </c>
    </row>
    <row r="206" spans="16:25">
      <c r="P206">
        <f t="shared" si="18"/>
        <v>0</v>
      </c>
      <c r="Q206">
        <f>IF(F206="","",IFERROR(INDEX(场景库!$B:$B,MATCH(F206,场景库!$A:$A,0)),1))</f>
        <v>0</v>
      </c>
      <c r="R206">
        <f>IF(G206="","",IFERROR(INDEX(场景库!$E:$E,MATCH(G206,场景库!$D:$D,0)),1))</f>
        <v>0</v>
      </c>
      <c r="S206">
        <f t="shared" si="19"/>
        <v>0</v>
      </c>
      <c r="T206">
        <f t="shared" si="20"/>
        <v>0</v>
      </c>
      <c r="U206">
        <f t="shared" si="21"/>
        <v>0</v>
      </c>
      <c r="X206">
        <f t="shared" si="22"/>
        <v>0</v>
      </c>
      <c r="Y206">
        <f t="shared" si="23"/>
        <v>0</v>
      </c>
    </row>
    <row r="207" spans="16:25">
      <c r="P207">
        <f t="shared" si="18"/>
        <v>0</v>
      </c>
      <c r="Q207">
        <f>IF(F207="","",IFERROR(INDEX(场景库!$B:$B,MATCH(F207,场景库!$A:$A,0)),1))</f>
        <v>0</v>
      </c>
      <c r="R207">
        <f>IF(G207="","",IFERROR(INDEX(场景库!$E:$E,MATCH(G207,场景库!$D:$D,0)),1))</f>
        <v>0</v>
      </c>
      <c r="S207">
        <f t="shared" si="19"/>
        <v>0</v>
      </c>
      <c r="T207">
        <f t="shared" si="20"/>
        <v>0</v>
      </c>
      <c r="U207">
        <f t="shared" si="21"/>
        <v>0</v>
      </c>
      <c r="X207">
        <f t="shared" si="22"/>
        <v>0</v>
      </c>
      <c r="Y207">
        <f t="shared" si="23"/>
        <v>0</v>
      </c>
    </row>
    <row r="208" spans="16:25">
      <c r="P208">
        <f t="shared" si="18"/>
        <v>0</v>
      </c>
      <c r="Q208">
        <f>IF(F208="","",IFERROR(INDEX(场景库!$B:$B,MATCH(F208,场景库!$A:$A,0)),1))</f>
        <v>0</v>
      </c>
      <c r="R208">
        <f>IF(G208="","",IFERROR(INDEX(场景库!$E:$E,MATCH(G208,场景库!$D:$D,0)),1))</f>
        <v>0</v>
      </c>
      <c r="S208">
        <f t="shared" si="19"/>
        <v>0</v>
      </c>
      <c r="T208">
        <f t="shared" si="20"/>
        <v>0</v>
      </c>
      <c r="U208">
        <f t="shared" si="21"/>
        <v>0</v>
      </c>
      <c r="X208">
        <f t="shared" si="22"/>
        <v>0</v>
      </c>
      <c r="Y208">
        <f t="shared" si="23"/>
        <v>0</v>
      </c>
    </row>
    <row r="209" spans="16:25">
      <c r="P209">
        <f t="shared" si="18"/>
        <v>0</v>
      </c>
      <c r="Q209">
        <f>IF(F209="","",IFERROR(INDEX(场景库!$B:$B,MATCH(F209,场景库!$A:$A,0)),1))</f>
        <v>0</v>
      </c>
      <c r="R209">
        <f>IF(G209="","",IFERROR(INDEX(场景库!$E:$E,MATCH(G209,场景库!$D:$D,0)),1))</f>
        <v>0</v>
      </c>
      <c r="S209">
        <f t="shared" si="19"/>
        <v>0</v>
      </c>
      <c r="T209">
        <f t="shared" si="20"/>
        <v>0</v>
      </c>
      <c r="U209">
        <f t="shared" si="21"/>
        <v>0</v>
      </c>
      <c r="X209">
        <f t="shared" si="22"/>
        <v>0</v>
      </c>
      <c r="Y209">
        <f t="shared" si="23"/>
        <v>0</v>
      </c>
    </row>
    <row r="210" spans="16:25">
      <c r="P210">
        <f t="shared" si="18"/>
        <v>0</v>
      </c>
      <c r="Q210">
        <f>IF(F210="","",IFERROR(INDEX(场景库!$B:$B,MATCH(F210,场景库!$A:$A,0)),1))</f>
        <v>0</v>
      </c>
      <c r="R210">
        <f>IF(G210="","",IFERROR(INDEX(场景库!$E:$E,MATCH(G210,场景库!$D:$D,0)),1))</f>
        <v>0</v>
      </c>
      <c r="S210">
        <f t="shared" si="19"/>
        <v>0</v>
      </c>
      <c r="T210">
        <f t="shared" si="20"/>
        <v>0</v>
      </c>
      <c r="U210">
        <f t="shared" si="21"/>
        <v>0</v>
      </c>
      <c r="X210">
        <f t="shared" si="22"/>
        <v>0</v>
      </c>
      <c r="Y210">
        <f t="shared" si="23"/>
        <v>0</v>
      </c>
    </row>
    <row r="211" spans="16:25">
      <c r="P211">
        <f t="shared" si="18"/>
        <v>0</v>
      </c>
      <c r="Q211">
        <f>IF(F211="","",IFERROR(INDEX(场景库!$B:$B,MATCH(F211,场景库!$A:$A,0)),1))</f>
        <v>0</v>
      </c>
      <c r="R211">
        <f>IF(G211="","",IFERROR(INDEX(场景库!$E:$E,MATCH(G211,场景库!$D:$D,0)),1))</f>
        <v>0</v>
      </c>
      <c r="S211">
        <f t="shared" si="19"/>
        <v>0</v>
      </c>
      <c r="T211">
        <f t="shared" si="20"/>
        <v>0</v>
      </c>
      <c r="U211">
        <f t="shared" si="21"/>
        <v>0</v>
      </c>
      <c r="X211">
        <f t="shared" si="22"/>
        <v>0</v>
      </c>
      <c r="Y211">
        <f t="shared" si="23"/>
        <v>0</v>
      </c>
    </row>
    <row r="212" spans="16:25">
      <c r="P212">
        <f t="shared" si="18"/>
        <v>0</v>
      </c>
      <c r="Q212">
        <f>IF(F212="","",IFERROR(INDEX(场景库!$B:$B,MATCH(F212,场景库!$A:$A,0)),1))</f>
        <v>0</v>
      </c>
      <c r="R212">
        <f>IF(G212="","",IFERROR(INDEX(场景库!$E:$E,MATCH(G212,场景库!$D:$D,0)),1))</f>
        <v>0</v>
      </c>
      <c r="S212">
        <f t="shared" si="19"/>
        <v>0</v>
      </c>
      <c r="T212">
        <f t="shared" si="20"/>
        <v>0</v>
      </c>
      <c r="U212">
        <f t="shared" si="21"/>
        <v>0</v>
      </c>
      <c r="X212">
        <f t="shared" si="22"/>
        <v>0</v>
      </c>
      <c r="Y212">
        <f t="shared" si="23"/>
        <v>0</v>
      </c>
    </row>
    <row r="213" spans="16:25">
      <c r="P213">
        <f t="shared" si="18"/>
        <v>0</v>
      </c>
      <c r="Q213">
        <f>IF(F213="","",IFERROR(INDEX(场景库!$B:$B,MATCH(F213,场景库!$A:$A,0)),1))</f>
        <v>0</v>
      </c>
      <c r="R213">
        <f>IF(G213="","",IFERROR(INDEX(场景库!$E:$E,MATCH(G213,场景库!$D:$D,0)),1))</f>
        <v>0</v>
      </c>
      <c r="S213">
        <f t="shared" si="19"/>
        <v>0</v>
      </c>
      <c r="T213">
        <f t="shared" si="20"/>
        <v>0</v>
      </c>
      <c r="U213">
        <f t="shared" si="21"/>
        <v>0</v>
      </c>
      <c r="X213">
        <f t="shared" si="22"/>
        <v>0</v>
      </c>
      <c r="Y213">
        <f t="shared" si="23"/>
        <v>0</v>
      </c>
    </row>
    <row r="214" spans="16:25">
      <c r="P214">
        <f t="shared" si="18"/>
        <v>0</v>
      </c>
      <c r="Q214">
        <f>IF(F214="","",IFERROR(INDEX(场景库!$B:$B,MATCH(F214,场景库!$A:$A,0)),1))</f>
        <v>0</v>
      </c>
      <c r="R214">
        <f>IF(G214="","",IFERROR(INDEX(场景库!$E:$E,MATCH(G214,场景库!$D:$D,0)),1))</f>
        <v>0</v>
      </c>
      <c r="S214">
        <f t="shared" si="19"/>
        <v>0</v>
      </c>
      <c r="T214">
        <f t="shared" si="20"/>
        <v>0</v>
      </c>
      <c r="U214">
        <f t="shared" si="21"/>
        <v>0</v>
      </c>
      <c r="X214">
        <f t="shared" si="22"/>
        <v>0</v>
      </c>
      <c r="Y214">
        <f t="shared" si="23"/>
        <v>0</v>
      </c>
    </row>
    <row r="215" spans="16:25">
      <c r="P215">
        <f t="shared" si="18"/>
        <v>0</v>
      </c>
      <c r="Q215">
        <f>IF(F215="","",IFERROR(INDEX(场景库!$B:$B,MATCH(F215,场景库!$A:$A,0)),1))</f>
        <v>0</v>
      </c>
      <c r="R215">
        <f>IF(G215="","",IFERROR(INDEX(场景库!$E:$E,MATCH(G215,场景库!$D:$D,0)),1))</f>
        <v>0</v>
      </c>
      <c r="S215">
        <f t="shared" si="19"/>
        <v>0</v>
      </c>
      <c r="T215">
        <f t="shared" si="20"/>
        <v>0</v>
      </c>
      <c r="U215">
        <f t="shared" si="21"/>
        <v>0</v>
      </c>
      <c r="X215">
        <f t="shared" si="22"/>
        <v>0</v>
      </c>
      <c r="Y215">
        <f t="shared" si="23"/>
        <v>0</v>
      </c>
    </row>
    <row r="216" spans="16:25">
      <c r="P216">
        <f t="shared" si="18"/>
        <v>0</v>
      </c>
      <c r="Q216">
        <f>IF(F216="","",IFERROR(INDEX(场景库!$B:$B,MATCH(F216,场景库!$A:$A,0)),1))</f>
        <v>0</v>
      </c>
      <c r="R216">
        <f>IF(G216="","",IFERROR(INDEX(场景库!$E:$E,MATCH(G216,场景库!$D:$D,0)),1))</f>
        <v>0</v>
      </c>
      <c r="S216">
        <f t="shared" si="19"/>
        <v>0</v>
      </c>
      <c r="T216">
        <f t="shared" si="20"/>
        <v>0</v>
      </c>
      <c r="U216">
        <f t="shared" si="21"/>
        <v>0</v>
      </c>
      <c r="X216">
        <f t="shared" si="22"/>
        <v>0</v>
      </c>
      <c r="Y216">
        <f t="shared" si="23"/>
        <v>0</v>
      </c>
    </row>
    <row r="217" spans="16:25">
      <c r="P217">
        <f t="shared" si="18"/>
        <v>0</v>
      </c>
      <c r="Q217">
        <f>IF(F217="","",IFERROR(INDEX(场景库!$B:$B,MATCH(F217,场景库!$A:$A,0)),1))</f>
        <v>0</v>
      </c>
      <c r="R217">
        <f>IF(G217="","",IFERROR(INDEX(场景库!$E:$E,MATCH(G217,场景库!$D:$D,0)),1))</f>
        <v>0</v>
      </c>
      <c r="S217">
        <f t="shared" si="19"/>
        <v>0</v>
      </c>
      <c r="T217">
        <f t="shared" si="20"/>
        <v>0</v>
      </c>
      <c r="U217">
        <f t="shared" si="21"/>
        <v>0</v>
      </c>
      <c r="X217">
        <f t="shared" si="22"/>
        <v>0</v>
      </c>
      <c r="Y217">
        <f t="shared" si="23"/>
        <v>0</v>
      </c>
    </row>
    <row r="218" spans="16:25">
      <c r="P218">
        <f t="shared" si="18"/>
        <v>0</v>
      </c>
      <c r="Q218">
        <f>IF(F218="","",IFERROR(INDEX(场景库!$B:$B,MATCH(F218,场景库!$A:$A,0)),1))</f>
        <v>0</v>
      </c>
      <c r="R218">
        <f>IF(G218="","",IFERROR(INDEX(场景库!$E:$E,MATCH(G218,场景库!$D:$D,0)),1))</f>
        <v>0</v>
      </c>
      <c r="S218">
        <f t="shared" si="19"/>
        <v>0</v>
      </c>
      <c r="T218">
        <f t="shared" si="20"/>
        <v>0</v>
      </c>
      <c r="U218">
        <f t="shared" si="21"/>
        <v>0</v>
      </c>
      <c r="X218">
        <f t="shared" si="22"/>
        <v>0</v>
      </c>
      <c r="Y218">
        <f t="shared" si="23"/>
        <v>0</v>
      </c>
    </row>
    <row r="219" spans="16:25">
      <c r="P219">
        <f t="shared" si="18"/>
        <v>0</v>
      </c>
      <c r="Q219">
        <f>IF(F219="","",IFERROR(INDEX(场景库!$B:$B,MATCH(F219,场景库!$A:$A,0)),1))</f>
        <v>0</v>
      </c>
      <c r="R219">
        <f>IF(G219="","",IFERROR(INDEX(场景库!$E:$E,MATCH(G219,场景库!$D:$D,0)),1))</f>
        <v>0</v>
      </c>
      <c r="S219">
        <f t="shared" si="19"/>
        <v>0</v>
      </c>
      <c r="T219">
        <f t="shared" si="20"/>
        <v>0</v>
      </c>
      <c r="U219">
        <f t="shared" si="21"/>
        <v>0</v>
      </c>
      <c r="X219">
        <f t="shared" si="22"/>
        <v>0</v>
      </c>
      <c r="Y219">
        <f t="shared" si="23"/>
        <v>0</v>
      </c>
    </row>
    <row r="220" spans="16:25">
      <c r="P220">
        <f t="shared" si="18"/>
        <v>0</v>
      </c>
      <c r="Q220">
        <f>IF(F220="","",IFERROR(INDEX(场景库!$B:$B,MATCH(F220,场景库!$A:$A,0)),1))</f>
        <v>0</v>
      </c>
      <c r="R220">
        <f>IF(G220="","",IFERROR(INDEX(场景库!$E:$E,MATCH(G220,场景库!$D:$D,0)),1))</f>
        <v>0</v>
      </c>
      <c r="S220">
        <f t="shared" si="19"/>
        <v>0</v>
      </c>
      <c r="T220">
        <f t="shared" si="20"/>
        <v>0</v>
      </c>
      <c r="U220">
        <f t="shared" si="21"/>
        <v>0</v>
      </c>
      <c r="X220">
        <f t="shared" si="22"/>
        <v>0</v>
      </c>
      <c r="Y220">
        <f t="shared" si="23"/>
        <v>0</v>
      </c>
    </row>
    <row r="221" spans="16:25">
      <c r="P221">
        <f t="shared" si="18"/>
        <v>0</v>
      </c>
      <c r="Q221">
        <f>IF(F221="","",IFERROR(INDEX(场景库!$B:$B,MATCH(F221,场景库!$A:$A,0)),1))</f>
        <v>0</v>
      </c>
      <c r="R221">
        <f>IF(G221="","",IFERROR(INDEX(场景库!$E:$E,MATCH(G221,场景库!$D:$D,0)),1))</f>
        <v>0</v>
      </c>
      <c r="S221">
        <f t="shared" si="19"/>
        <v>0</v>
      </c>
      <c r="T221">
        <f t="shared" si="20"/>
        <v>0</v>
      </c>
      <c r="U221">
        <f t="shared" si="21"/>
        <v>0</v>
      </c>
      <c r="X221">
        <f t="shared" si="22"/>
        <v>0</v>
      </c>
      <c r="Y221">
        <f t="shared" si="23"/>
        <v>0</v>
      </c>
    </row>
    <row r="222" spans="16:25">
      <c r="P222">
        <f t="shared" si="18"/>
        <v>0</v>
      </c>
      <c r="Q222">
        <f>IF(F222="","",IFERROR(INDEX(场景库!$B:$B,MATCH(F222,场景库!$A:$A,0)),1))</f>
        <v>0</v>
      </c>
      <c r="R222">
        <f>IF(G222="","",IFERROR(INDEX(场景库!$E:$E,MATCH(G222,场景库!$D:$D,0)),1))</f>
        <v>0</v>
      </c>
      <c r="S222">
        <f t="shared" si="19"/>
        <v>0</v>
      </c>
      <c r="T222">
        <f t="shared" si="20"/>
        <v>0</v>
      </c>
      <c r="U222">
        <f t="shared" si="21"/>
        <v>0</v>
      </c>
      <c r="X222">
        <f t="shared" si="22"/>
        <v>0</v>
      </c>
      <c r="Y222">
        <f t="shared" si="23"/>
        <v>0</v>
      </c>
    </row>
    <row r="223" spans="16:25">
      <c r="P223">
        <f t="shared" si="18"/>
        <v>0</v>
      </c>
      <c r="Q223">
        <f>IF(F223="","",IFERROR(INDEX(场景库!$B:$B,MATCH(F223,场景库!$A:$A,0)),1))</f>
        <v>0</v>
      </c>
      <c r="R223">
        <f>IF(G223="","",IFERROR(INDEX(场景库!$E:$E,MATCH(G223,场景库!$D:$D,0)),1))</f>
        <v>0</v>
      </c>
      <c r="S223">
        <f t="shared" si="19"/>
        <v>0</v>
      </c>
      <c r="T223">
        <f t="shared" si="20"/>
        <v>0</v>
      </c>
      <c r="U223">
        <f t="shared" si="21"/>
        <v>0</v>
      </c>
      <c r="X223">
        <f t="shared" si="22"/>
        <v>0</v>
      </c>
      <c r="Y223">
        <f t="shared" si="23"/>
        <v>0</v>
      </c>
    </row>
    <row r="224" spans="16:25">
      <c r="P224">
        <f t="shared" si="18"/>
        <v>0</v>
      </c>
      <c r="Q224">
        <f>IF(F224="","",IFERROR(INDEX(场景库!$B:$B,MATCH(F224,场景库!$A:$A,0)),1))</f>
        <v>0</v>
      </c>
      <c r="R224">
        <f>IF(G224="","",IFERROR(INDEX(场景库!$E:$E,MATCH(G224,场景库!$D:$D,0)),1))</f>
        <v>0</v>
      </c>
      <c r="S224">
        <f t="shared" si="19"/>
        <v>0</v>
      </c>
      <c r="T224">
        <f t="shared" si="20"/>
        <v>0</v>
      </c>
      <c r="U224">
        <f t="shared" si="21"/>
        <v>0</v>
      </c>
      <c r="X224">
        <f t="shared" si="22"/>
        <v>0</v>
      </c>
      <c r="Y224">
        <f t="shared" si="23"/>
        <v>0</v>
      </c>
    </row>
    <row r="225" spans="16:25">
      <c r="P225">
        <f t="shared" si="18"/>
        <v>0</v>
      </c>
      <c r="Q225">
        <f>IF(F225="","",IFERROR(INDEX(场景库!$B:$B,MATCH(F225,场景库!$A:$A,0)),1))</f>
        <v>0</v>
      </c>
      <c r="R225">
        <f>IF(G225="","",IFERROR(INDEX(场景库!$E:$E,MATCH(G225,场景库!$D:$D,0)),1))</f>
        <v>0</v>
      </c>
      <c r="S225">
        <f t="shared" si="19"/>
        <v>0</v>
      </c>
      <c r="T225">
        <f t="shared" si="20"/>
        <v>0</v>
      </c>
      <c r="U225">
        <f t="shared" si="21"/>
        <v>0</v>
      </c>
      <c r="X225">
        <f t="shared" si="22"/>
        <v>0</v>
      </c>
      <c r="Y225">
        <f t="shared" si="23"/>
        <v>0</v>
      </c>
    </row>
    <row r="226" spans="16:25">
      <c r="P226">
        <f t="shared" si="18"/>
        <v>0</v>
      </c>
      <c r="Q226">
        <f>IF(F226="","",IFERROR(INDEX(场景库!$B:$B,MATCH(F226,场景库!$A:$A,0)),1))</f>
        <v>0</v>
      </c>
      <c r="R226">
        <f>IF(G226="","",IFERROR(INDEX(场景库!$E:$E,MATCH(G226,场景库!$D:$D,0)),1))</f>
        <v>0</v>
      </c>
      <c r="S226">
        <f t="shared" si="19"/>
        <v>0</v>
      </c>
      <c r="T226">
        <f t="shared" si="20"/>
        <v>0</v>
      </c>
      <c r="U226">
        <f t="shared" si="21"/>
        <v>0</v>
      </c>
      <c r="X226">
        <f t="shared" si="22"/>
        <v>0</v>
      </c>
      <c r="Y226">
        <f t="shared" si="23"/>
        <v>0</v>
      </c>
    </row>
    <row r="227" spans="16:25">
      <c r="P227">
        <f t="shared" si="18"/>
        <v>0</v>
      </c>
      <c r="Q227">
        <f>IF(F227="","",IFERROR(INDEX(场景库!$B:$B,MATCH(F227,场景库!$A:$A,0)),1))</f>
        <v>0</v>
      </c>
      <c r="R227">
        <f>IF(G227="","",IFERROR(INDEX(场景库!$E:$E,MATCH(G227,场景库!$D:$D,0)),1))</f>
        <v>0</v>
      </c>
      <c r="S227">
        <f t="shared" si="19"/>
        <v>0</v>
      </c>
      <c r="T227">
        <f t="shared" si="20"/>
        <v>0</v>
      </c>
      <c r="U227">
        <f t="shared" si="21"/>
        <v>0</v>
      </c>
      <c r="X227">
        <f t="shared" si="22"/>
        <v>0</v>
      </c>
      <c r="Y227">
        <f t="shared" si="23"/>
        <v>0</v>
      </c>
    </row>
    <row r="228" spans="16:25">
      <c r="P228">
        <f t="shared" si="18"/>
        <v>0</v>
      </c>
      <c r="Q228">
        <f>IF(F228="","",IFERROR(INDEX(场景库!$B:$B,MATCH(F228,场景库!$A:$A,0)),1))</f>
        <v>0</v>
      </c>
      <c r="R228">
        <f>IF(G228="","",IFERROR(INDEX(场景库!$E:$E,MATCH(G228,场景库!$D:$D,0)),1))</f>
        <v>0</v>
      </c>
      <c r="S228">
        <f t="shared" si="19"/>
        <v>0</v>
      </c>
      <c r="T228">
        <f t="shared" si="20"/>
        <v>0</v>
      </c>
      <c r="U228">
        <f t="shared" si="21"/>
        <v>0</v>
      </c>
      <c r="X228">
        <f t="shared" si="22"/>
        <v>0</v>
      </c>
      <c r="Y228">
        <f t="shared" si="23"/>
        <v>0</v>
      </c>
    </row>
    <row r="229" spans="16:25">
      <c r="P229">
        <f t="shared" si="18"/>
        <v>0</v>
      </c>
      <c r="Q229">
        <f>IF(F229="","",IFERROR(INDEX(场景库!$B:$B,MATCH(F229,场景库!$A:$A,0)),1))</f>
        <v>0</v>
      </c>
      <c r="R229">
        <f>IF(G229="","",IFERROR(INDEX(场景库!$E:$E,MATCH(G229,场景库!$D:$D,0)),1))</f>
        <v>0</v>
      </c>
      <c r="S229">
        <f t="shared" si="19"/>
        <v>0</v>
      </c>
      <c r="T229">
        <f t="shared" si="20"/>
        <v>0</v>
      </c>
      <c r="U229">
        <f t="shared" si="21"/>
        <v>0</v>
      </c>
      <c r="X229">
        <f t="shared" si="22"/>
        <v>0</v>
      </c>
      <c r="Y229">
        <f t="shared" si="23"/>
        <v>0</v>
      </c>
    </row>
    <row r="230" spans="16:25">
      <c r="P230">
        <f t="shared" si="18"/>
        <v>0</v>
      </c>
      <c r="Q230">
        <f>IF(F230="","",IFERROR(INDEX(场景库!$B:$B,MATCH(F230,场景库!$A:$A,0)),1))</f>
        <v>0</v>
      </c>
      <c r="R230">
        <f>IF(G230="","",IFERROR(INDEX(场景库!$E:$E,MATCH(G230,场景库!$D:$D,0)),1))</f>
        <v>0</v>
      </c>
      <c r="S230">
        <f t="shared" si="19"/>
        <v>0</v>
      </c>
      <c r="T230">
        <f t="shared" si="20"/>
        <v>0</v>
      </c>
      <c r="U230">
        <f t="shared" si="21"/>
        <v>0</v>
      </c>
      <c r="X230">
        <f t="shared" si="22"/>
        <v>0</v>
      </c>
      <c r="Y230">
        <f t="shared" si="23"/>
        <v>0</v>
      </c>
    </row>
    <row r="231" spans="16:25">
      <c r="P231">
        <f t="shared" si="18"/>
        <v>0</v>
      </c>
      <c r="Q231">
        <f>IF(F231="","",IFERROR(INDEX(场景库!$B:$B,MATCH(F231,场景库!$A:$A,0)),1))</f>
        <v>0</v>
      </c>
      <c r="R231">
        <f>IF(G231="","",IFERROR(INDEX(场景库!$E:$E,MATCH(G231,场景库!$D:$D,0)),1))</f>
        <v>0</v>
      </c>
      <c r="S231">
        <f t="shared" si="19"/>
        <v>0</v>
      </c>
      <c r="T231">
        <f t="shared" si="20"/>
        <v>0</v>
      </c>
      <c r="U231">
        <f t="shared" si="21"/>
        <v>0</v>
      </c>
      <c r="X231">
        <f t="shared" si="22"/>
        <v>0</v>
      </c>
      <c r="Y231">
        <f t="shared" si="23"/>
        <v>0</v>
      </c>
    </row>
    <row r="232" spans="16:25">
      <c r="P232">
        <f t="shared" si="18"/>
        <v>0</v>
      </c>
      <c r="Q232">
        <f>IF(F232="","",IFERROR(INDEX(场景库!$B:$B,MATCH(F232,场景库!$A:$A,0)),1))</f>
        <v>0</v>
      </c>
      <c r="R232">
        <f>IF(G232="","",IFERROR(INDEX(场景库!$E:$E,MATCH(G232,场景库!$D:$D,0)),1))</f>
        <v>0</v>
      </c>
      <c r="S232">
        <f t="shared" si="19"/>
        <v>0</v>
      </c>
      <c r="T232">
        <f t="shared" si="20"/>
        <v>0</v>
      </c>
      <c r="U232">
        <f t="shared" si="21"/>
        <v>0</v>
      </c>
      <c r="X232">
        <f t="shared" si="22"/>
        <v>0</v>
      </c>
      <c r="Y232">
        <f t="shared" si="23"/>
        <v>0</v>
      </c>
    </row>
    <row r="233" spans="16:25">
      <c r="P233">
        <f t="shared" si="18"/>
        <v>0</v>
      </c>
      <c r="Q233">
        <f>IF(F233="","",IFERROR(INDEX(场景库!$B:$B,MATCH(F233,场景库!$A:$A,0)),1))</f>
        <v>0</v>
      </c>
      <c r="R233">
        <f>IF(G233="","",IFERROR(INDEX(场景库!$E:$E,MATCH(G233,场景库!$D:$D,0)),1))</f>
        <v>0</v>
      </c>
      <c r="S233">
        <f t="shared" si="19"/>
        <v>0</v>
      </c>
      <c r="T233">
        <f t="shared" si="20"/>
        <v>0</v>
      </c>
      <c r="U233">
        <f t="shared" si="21"/>
        <v>0</v>
      </c>
      <c r="X233">
        <f t="shared" si="22"/>
        <v>0</v>
      </c>
      <c r="Y233">
        <f t="shared" si="23"/>
        <v>0</v>
      </c>
    </row>
    <row r="234" spans="16:25">
      <c r="P234">
        <f t="shared" si="18"/>
        <v>0</v>
      </c>
      <c r="Q234">
        <f>IF(F234="","",IFERROR(INDEX(场景库!$B:$B,MATCH(F234,场景库!$A:$A,0)),1))</f>
        <v>0</v>
      </c>
      <c r="R234">
        <f>IF(G234="","",IFERROR(INDEX(场景库!$E:$E,MATCH(G234,场景库!$D:$D,0)),1))</f>
        <v>0</v>
      </c>
      <c r="S234">
        <f t="shared" si="19"/>
        <v>0</v>
      </c>
      <c r="T234">
        <f t="shared" si="20"/>
        <v>0</v>
      </c>
      <c r="U234">
        <f t="shared" si="21"/>
        <v>0</v>
      </c>
      <c r="X234">
        <f t="shared" si="22"/>
        <v>0</v>
      </c>
      <c r="Y234">
        <f t="shared" si="23"/>
        <v>0</v>
      </c>
    </row>
    <row r="235" spans="16:25">
      <c r="P235">
        <f t="shared" si="18"/>
        <v>0</v>
      </c>
      <c r="Q235">
        <f>IF(F235="","",IFERROR(INDEX(场景库!$B:$B,MATCH(F235,场景库!$A:$A,0)),1))</f>
        <v>0</v>
      </c>
      <c r="R235">
        <f>IF(G235="","",IFERROR(INDEX(场景库!$E:$E,MATCH(G235,场景库!$D:$D,0)),1))</f>
        <v>0</v>
      </c>
      <c r="S235">
        <f t="shared" si="19"/>
        <v>0</v>
      </c>
      <c r="T235">
        <f t="shared" si="20"/>
        <v>0</v>
      </c>
      <c r="U235">
        <f t="shared" si="21"/>
        <v>0</v>
      </c>
      <c r="X235">
        <f t="shared" si="22"/>
        <v>0</v>
      </c>
      <c r="Y235">
        <f t="shared" si="23"/>
        <v>0</v>
      </c>
    </row>
    <row r="236" spans="16:25">
      <c r="P236">
        <f t="shared" si="18"/>
        <v>0</v>
      </c>
      <c r="Q236">
        <f>IF(F236="","",IFERROR(INDEX(场景库!$B:$B,MATCH(F236,场景库!$A:$A,0)),1))</f>
        <v>0</v>
      </c>
      <c r="R236">
        <f>IF(G236="","",IFERROR(INDEX(场景库!$E:$E,MATCH(G236,场景库!$D:$D,0)),1))</f>
        <v>0</v>
      </c>
      <c r="S236">
        <f t="shared" si="19"/>
        <v>0</v>
      </c>
      <c r="T236">
        <f t="shared" si="20"/>
        <v>0</v>
      </c>
      <c r="U236">
        <f t="shared" si="21"/>
        <v>0</v>
      </c>
      <c r="X236">
        <f t="shared" si="22"/>
        <v>0</v>
      </c>
      <c r="Y236">
        <f t="shared" si="23"/>
        <v>0</v>
      </c>
    </row>
    <row r="237" spans="16:25">
      <c r="P237">
        <f t="shared" si="18"/>
        <v>0</v>
      </c>
      <c r="Q237">
        <f>IF(F237="","",IFERROR(INDEX(场景库!$B:$B,MATCH(F237,场景库!$A:$A,0)),1))</f>
        <v>0</v>
      </c>
      <c r="R237">
        <f>IF(G237="","",IFERROR(INDEX(场景库!$E:$E,MATCH(G237,场景库!$D:$D,0)),1))</f>
        <v>0</v>
      </c>
      <c r="S237">
        <f t="shared" si="19"/>
        <v>0</v>
      </c>
      <c r="T237">
        <f t="shared" si="20"/>
        <v>0</v>
      </c>
      <c r="U237">
        <f t="shared" si="21"/>
        <v>0</v>
      </c>
      <c r="X237">
        <f t="shared" si="22"/>
        <v>0</v>
      </c>
      <c r="Y237">
        <f t="shared" si="23"/>
        <v>0</v>
      </c>
    </row>
    <row r="238" spans="16:25">
      <c r="P238">
        <f t="shared" si="18"/>
        <v>0</v>
      </c>
      <c r="Q238">
        <f>IF(F238="","",IFERROR(INDEX(场景库!$B:$B,MATCH(F238,场景库!$A:$A,0)),1))</f>
        <v>0</v>
      </c>
      <c r="R238">
        <f>IF(G238="","",IFERROR(INDEX(场景库!$E:$E,MATCH(G238,场景库!$D:$D,0)),1))</f>
        <v>0</v>
      </c>
      <c r="S238">
        <f t="shared" si="19"/>
        <v>0</v>
      </c>
      <c r="T238">
        <f t="shared" si="20"/>
        <v>0</v>
      </c>
      <c r="U238">
        <f t="shared" si="21"/>
        <v>0</v>
      </c>
      <c r="X238">
        <f t="shared" si="22"/>
        <v>0</v>
      </c>
      <c r="Y238">
        <f t="shared" si="23"/>
        <v>0</v>
      </c>
    </row>
    <row r="239" spans="16:25">
      <c r="P239">
        <f t="shared" si="18"/>
        <v>0</v>
      </c>
      <c r="Q239">
        <f>IF(F239="","",IFERROR(INDEX(场景库!$B:$B,MATCH(F239,场景库!$A:$A,0)),1))</f>
        <v>0</v>
      </c>
      <c r="R239">
        <f>IF(G239="","",IFERROR(INDEX(场景库!$E:$E,MATCH(G239,场景库!$D:$D,0)),1))</f>
        <v>0</v>
      </c>
      <c r="S239">
        <f t="shared" si="19"/>
        <v>0</v>
      </c>
      <c r="T239">
        <f t="shared" si="20"/>
        <v>0</v>
      </c>
      <c r="U239">
        <f t="shared" si="21"/>
        <v>0</v>
      </c>
      <c r="X239">
        <f t="shared" si="22"/>
        <v>0</v>
      </c>
      <c r="Y239">
        <f t="shared" si="23"/>
        <v>0</v>
      </c>
    </row>
    <row r="240" spans="16:25">
      <c r="P240">
        <f t="shared" si="18"/>
        <v>0</v>
      </c>
      <c r="Q240">
        <f>IF(F240="","",IFERROR(INDEX(场景库!$B:$B,MATCH(F240,场景库!$A:$A,0)),1))</f>
        <v>0</v>
      </c>
      <c r="R240">
        <f>IF(G240="","",IFERROR(INDEX(场景库!$E:$E,MATCH(G240,场景库!$D:$D,0)),1))</f>
        <v>0</v>
      </c>
      <c r="S240">
        <f t="shared" si="19"/>
        <v>0</v>
      </c>
      <c r="T240">
        <f t="shared" si="20"/>
        <v>0</v>
      </c>
      <c r="U240">
        <f t="shared" si="21"/>
        <v>0</v>
      </c>
      <c r="X240">
        <f t="shared" si="22"/>
        <v>0</v>
      </c>
      <c r="Y240">
        <f t="shared" si="23"/>
        <v>0</v>
      </c>
    </row>
    <row r="241" spans="16:25">
      <c r="P241">
        <f t="shared" si="18"/>
        <v>0</v>
      </c>
      <c r="Q241">
        <f>IF(F241="","",IFERROR(INDEX(场景库!$B:$B,MATCH(F241,场景库!$A:$A,0)),1))</f>
        <v>0</v>
      </c>
      <c r="R241">
        <f>IF(G241="","",IFERROR(INDEX(场景库!$E:$E,MATCH(G241,场景库!$D:$D,0)),1))</f>
        <v>0</v>
      </c>
      <c r="S241">
        <f t="shared" si="19"/>
        <v>0</v>
      </c>
      <c r="T241">
        <f t="shared" si="20"/>
        <v>0</v>
      </c>
      <c r="U241">
        <f t="shared" si="21"/>
        <v>0</v>
      </c>
      <c r="X241">
        <f t="shared" si="22"/>
        <v>0</v>
      </c>
      <c r="Y241">
        <f t="shared" si="23"/>
        <v>0</v>
      </c>
    </row>
    <row r="242" spans="16:25">
      <c r="P242">
        <f t="shared" si="18"/>
        <v>0</v>
      </c>
      <c r="Q242">
        <f>IF(F242="","",IFERROR(INDEX(场景库!$B:$B,MATCH(F242,场景库!$A:$A,0)),1))</f>
        <v>0</v>
      </c>
      <c r="R242">
        <f>IF(G242="","",IFERROR(INDEX(场景库!$E:$E,MATCH(G242,场景库!$D:$D,0)),1))</f>
        <v>0</v>
      </c>
      <c r="S242">
        <f t="shared" si="19"/>
        <v>0</v>
      </c>
      <c r="T242">
        <f t="shared" si="20"/>
        <v>0</v>
      </c>
      <c r="U242">
        <f t="shared" si="21"/>
        <v>0</v>
      </c>
      <c r="X242">
        <f t="shared" si="22"/>
        <v>0</v>
      </c>
      <c r="Y242">
        <f t="shared" si="23"/>
        <v>0</v>
      </c>
    </row>
    <row r="243" spans="16:25">
      <c r="P243">
        <f t="shared" si="18"/>
        <v>0</v>
      </c>
      <c r="Q243">
        <f>IF(F243="","",IFERROR(INDEX(场景库!$B:$B,MATCH(F243,场景库!$A:$A,0)),1))</f>
        <v>0</v>
      </c>
      <c r="R243">
        <f>IF(G243="","",IFERROR(INDEX(场景库!$E:$E,MATCH(G243,场景库!$D:$D,0)),1))</f>
        <v>0</v>
      </c>
      <c r="S243">
        <f t="shared" si="19"/>
        <v>0</v>
      </c>
      <c r="T243">
        <f t="shared" si="20"/>
        <v>0</v>
      </c>
      <c r="U243">
        <f t="shared" si="21"/>
        <v>0</v>
      </c>
      <c r="X243">
        <f t="shared" si="22"/>
        <v>0</v>
      </c>
      <c r="Y243">
        <f t="shared" si="23"/>
        <v>0</v>
      </c>
    </row>
    <row r="244" spans="16:25">
      <c r="P244">
        <f t="shared" si="18"/>
        <v>0</v>
      </c>
      <c r="Q244">
        <f>IF(F244="","",IFERROR(INDEX(场景库!$B:$B,MATCH(F244,场景库!$A:$A,0)),1))</f>
        <v>0</v>
      </c>
      <c r="R244">
        <f>IF(G244="","",IFERROR(INDEX(场景库!$E:$E,MATCH(G244,场景库!$D:$D,0)),1))</f>
        <v>0</v>
      </c>
      <c r="S244">
        <f t="shared" si="19"/>
        <v>0</v>
      </c>
      <c r="T244">
        <f t="shared" si="20"/>
        <v>0</v>
      </c>
      <c r="U244">
        <f t="shared" si="21"/>
        <v>0</v>
      </c>
      <c r="X244">
        <f t="shared" si="22"/>
        <v>0</v>
      </c>
      <c r="Y244">
        <f t="shared" si="23"/>
        <v>0</v>
      </c>
    </row>
    <row r="245" spans="16:25">
      <c r="P245">
        <f t="shared" si="18"/>
        <v>0</v>
      </c>
      <c r="Q245">
        <f>IF(F245="","",IFERROR(INDEX(场景库!$B:$B,MATCH(F245,场景库!$A:$A,0)),1))</f>
        <v>0</v>
      </c>
      <c r="R245">
        <f>IF(G245="","",IFERROR(INDEX(场景库!$E:$E,MATCH(G245,场景库!$D:$D,0)),1))</f>
        <v>0</v>
      </c>
      <c r="S245">
        <f t="shared" si="19"/>
        <v>0</v>
      </c>
      <c r="T245">
        <f t="shared" si="20"/>
        <v>0</v>
      </c>
      <c r="U245">
        <f t="shared" si="21"/>
        <v>0</v>
      </c>
      <c r="X245">
        <f t="shared" si="22"/>
        <v>0</v>
      </c>
      <c r="Y245">
        <f t="shared" si="23"/>
        <v>0</v>
      </c>
    </row>
    <row r="246" spans="16:25">
      <c r="P246">
        <f t="shared" si="18"/>
        <v>0</v>
      </c>
      <c r="Q246">
        <f>IF(F246="","",IFERROR(INDEX(场景库!$B:$B,MATCH(F246,场景库!$A:$A,0)),1))</f>
        <v>0</v>
      </c>
      <c r="R246">
        <f>IF(G246="","",IFERROR(INDEX(场景库!$E:$E,MATCH(G246,场景库!$D:$D,0)),1))</f>
        <v>0</v>
      </c>
      <c r="S246">
        <f t="shared" si="19"/>
        <v>0</v>
      </c>
      <c r="T246">
        <f t="shared" si="20"/>
        <v>0</v>
      </c>
      <c r="U246">
        <f t="shared" si="21"/>
        <v>0</v>
      </c>
      <c r="X246">
        <f t="shared" si="22"/>
        <v>0</v>
      </c>
      <c r="Y246">
        <f t="shared" si="23"/>
        <v>0</v>
      </c>
    </row>
    <row r="247" spans="16:25">
      <c r="P247">
        <f t="shared" si="18"/>
        <v>0</v>
      </c>
      <c r="Q247">
        <f>IF(F247="","",IFERROR(INDEX(场景库!$B:$B,MATCH(F247,场景库!$A:$A,0)),1))</f>
        <v>0</v>
      </c>
      <c r="R247">
        <f>IF(G247="","",IFERROR(INDEX(场景库!$E:$E,MATCH(G247,场景库!$D:$D,0)),1))</f>
        <v>0</v>
      </c>
      <c r="S247">
        <f t="shared" si="19"/>
        <v>0</v>
      </c>
      <c r="T247">
        <f t="shared" si="20"/>
        <v>0</v>
      </c>
      <c r="U247">
        <f t="shared" si="21"/>
        <v>0</v>
      </c>
      <c r="X247">
        <f t="shared" si="22"/>
        <v>0</v>
      </c>
      <c r="Y247">
        <f t="shared" si="23"/>
        <v>0</v>
      </c>
    </row>
    <row r="248" spans="16:25">
      <c r="P248">
        <f t="shared" si="18"/>
        <v>0</v>
      </c>
      <c r="Q248">
        <f>IF(F248="","",IFERROR(INDEX(场景库!$B:$B,MATCH(F248,场景库!$A:$A,0)),1))</f>
        <v>0</v>
      </c>
      <c r="R248">
        <f>IF(G248="","",IFERROR(INDEX(场景库!$E:$E,MATCH(G248,场景库!$D:$D,0)),1))</f>
        <v>0</v>
      </c>
      <c r="S248">
        <f t="shared" si="19"/>
        <v>0</v>
      </c>
      <c r="T248">
        <f t="shared" si="20"/>
        <v>0</v>
      </c>
      <c r="U248">
        <f t="shared" si="21"/>
        <v>0</v>
      </c>
      <c r="X248">
        <f t="shared" si="22"/>
        <v>0</v>
      </c>
      <c r="Y248">
        <f t="shared" si="23"/>
        <v>0</v>
      </c>
    </row>
    <row r="249" spans="16:25">
      <c r="P249">
        <f t="shared" si="18"/>
        <v>0</v>
      </c>
      <c r="Q249">
        <f>IF(F249="","",IFERROR(INDEX(场景库!$B:$B,MATCH(F249,场景库!$A:$A,0)),1))</f>
        <v>0</v>
      </c>
      <c r="R249">
        <f>IF(G249="","",IFERROR(INDEX(场景库!$E:$E,MATCH(G249,场景库!$D:$D,0)),1))</f>
        <v>0</v>
      </c>
      <c r="S249">
        <f t="shared" si="19"/>
        <v>0</v>
      </c>
      <c r="T249">
        <f t="shared" si="20"/>
        <v>0</v>
      </c>
      <c r="U249">
        <f t="shared" si="21"/>
        <v>0</v>
      </c>
      <c r="X249">
        <f t="shared" si="22"/>
        <v>0</v>
      </c>
      <c r="Y249">
        <f t="shared" si="23"/>
        <v>0</v>
      </c>
    </row>
    <row r="250" spans="16:25">
      <c r="P250">
        <f t="shared" si="18"/>
        <v>0</v>
      </c>
      <c r="Q250">
        <f>IF(F250="","",IFERROR(INDEX(场景库!$B:$B,MATCH(F250,场景库!$A:$A,0)),1))</f>
        <v>0</v>
      </c>
      <c r="R250">
        <f>IF(G250="","",IFERROR(INDEX(场景库!$E:$E,MATCH(G250,场景库!$D:$D,0)),1))</f>
        <v>0</v>
      </c>
      <c r="S250">
        <f t="shared" si="19"/>
        <v>0</v>
      </c>
      <c r="T250">
        <f t="shared" si="20"/>
        <v>0</v>
      </c>
      <c r="U250">
        <f t="shared" si="21"/>
        <v>0</v>
      </c>
      <c r="X250">
        <f t="shared" si="22"/>
        <v>0</v>
      </c>
      <c r="Y250">
        <f t="shared" si="23"/>
        <v>0</v>
      </c>
    </row>
    <row r="251" spans="16:25">
      <c r="P251">
        <f t="shared" si="18"/>
        <v>0</v>
      </c>
      <c r="Q251">
        <f>IF(F251="","",IFERROR(INDEX(场景库!$B:$B,MATCH(F251,场景库!$A:$A,0)),1))</f>
        <v>0</v>
      </c>
      <c r="R251">
        <f>IF(G251="","",IFERROR(INDEX(场景库!$E:$E,MATCH(G251,场景库!$D:$D,0)),1))</f>
        <v>0</v>
      </c>
      <c r="S251">
        <f t="shared" si="19"/>
        <v>0</v>
      </c>
      <c r="T251">
        <f t="shared" si="20"/>
        <v>0</v>
      </c>
      <c r="U251">
        <f t="shared" si="21"/>
        <v>0</v>
      </c>
      <c r="X251">
        <f t="shared" si="22"/>
        <v>0</v>
      </c>
      <c r="Y251">
        <f t="shared" si="23"/>
        <v>0</v>
      </c>
    </row>
    <row r="252" spans="16:25">
      <c r="P252">
        <f t="shared" si="18"/>
        <v>0</v>
      </c>
      <c r="Q252">
        <f>IF(F252="","",IFERROR(INDEX(场景库!$B:$B,MATCH(F252,场景库!$A:$A,0)),1))</f>
        <v>0</v>
      </c>
      <c r="R252">
        <f>IF(G252="","",IFERROR(INDEX(场景库!$E:$E,MATCH(G252,场景库!$D:$D,0)),1))</f>
        <v>0</v>
      </c>
      <c r="S252">
        <f t="shared" si="19"/>
        <v>0</v>
      </c>
      <c r="T252">
        <f t="shared" si="20"/>
        <v>0</v>
      </c>
      <c r="U252">
        <f t="shared" si="21"/>
        <v>0</v>
      </c>
      <c r="X252">
        <f t="shared" si="22"/>
        <v>0</v>
      </c>
      <c r="Y252">
        <f t="shared" si="23"/>
        <v>0</v>
      </c>
    </row>
    <row r="253" spans="16:25">
      <c r="P253">
        <f t="shared" si="18"/>
        <v>0</v>
      </c>
      <c r="Q253">
        <f>IF(F253="","",IFERROR(INDEX(场景库!$B:$B,MATCH(F253,场景库!$A:$A,0)),1))</f>
        <v>0</v>
      </c>
      <c r="R253">
        <f>IF(G253="","",IFERROR(INDEX(场景库!$E:$E,MATCH(G253,场景库!$D:$D,0)),1))</f>
        <v>0</v>
      </c>
      <c r="S253">
        <f t="shared" si="19"/>
        <v>0</v>
      </c>
      <c r="T253">
        <f t="shared" si="20"/>
        <v>0</v>
      </c>
      <c r="U253">
        <f t="shared" si="21"/>
        <v>0</v>
      </c>
      <c r="X253">
        <f t="shared" si="22"/>
        <v>0</v>
      </c>
      <c r="Y253">
        <f t="shared" si="23"/>
        <v>0</v>
      </c>
    </row>
    <row r="254" spans="16:25">
      <c r="P254">
        <f t="shared" si="18"/>
        <v>0</v>
      </c>
      <c r="Q254">
        <f>IF(F254="","",IFERROR(INDEX(场景库!$B:$B,MATCH(F254,场景库!$A:$A,0)),1))</f>
        <v>0</v>
      </c>
      <c r="R254">
        <f>IF(G254="","",IFERROR(INDEX(场景库!$E:$E,MATCH(G254,场景库!$D:$D,0)),1))</f>
        <v>0</v>
      </c>
      <c r="S254">
        <f t="shared" si="19"/>
        <v>0</v>
      </c>
      <c r="T254">
        <f t="shared" si="20"/>
        <v>0</v>
      </c>
      <c r="U254">
        <f t="shared" si="21"/>
        <v>0</v>
      </c>
      <c r="X254">
        <f t="shared" si="22"/>
        <v>0</v>
      </c>
      <c r="Y254">
        <f t="shared" si="23"/>
        <v>0</v>
      </c>
    </row>
    <row r="255" spans="16:25">
      <c r="P255">
        <f t="shared" si="18"/>
        <v>0</v>
      </c>
      <c r="Q255">
        <f>IF(F255="","",IFERROR(INDEX(场景库!$B:$B,MATCH(F255,场景库!$A:$A,0)),1))</f>
        <v>0</v>
      </c>
      <c r="R255">
        <f>IF(G255="","",IFERROR(INDEX(场景库!$E:$E,MATCH(G255,场景库!$D:$D,0)),1))</f>
        <v>0</v>
      </c>
      <c r="S255">
        <f t="shared" si="19"/>
        <v>0</v>
      </c>
      <c r="T255">
        <f t="shared" si="20"/>
        <v>0</v>
      </c>
      <c r="U255">
        <f t="shared" si="21"/>
        <v>0</v>
      </c>
      <c r="X255">
        <f t="shared" si="22"/>
        <v>0</v>
      </c>
      <c r="Y255">
        <f t="shared" si="23"/>
        <v>0</v>
      </c>
    </row>
    <row r="256" spans="16:25">
      <c r="P256">
        <f t="shared" si="18"/>
        <v>0</v>
      </c>
      <c r="Q256">
        <f>IF(F256="","",IFERROR(INDEX(场景库!$B:$B,MATCH(F256,场景库!$A:$A,0)),1))</f>
        <v>0</v>
      </c>
      <c r="R256">
        <f>IF(G256="","",IFERROR(INDEX(场景库!$E:$E,MATCH(G256,场景库!$D:$D,0)),1))</f>
        <v>0</v>
      </c>
      <c r="S256">
        <f t="shared" si="19"/>
        <v>0</v>
      </c>
      <c r="T256">
        <f t="shared" si="20"/>
        <v>0</v>
      </c>
      <c r="U256">
        <f t="shared" si="21"/>
        <v>0</v>
      </c>
      <c r="X256">
        <f t="shared" si="22"/>
        <v>0</v>
      </c>
      <c r="Y256">
        <f t="shared" si="23"/>
        <v>0</v>
      </c>
    </row>
    <row r="257" spans="16:25">
      <c r="P257">
        <f t="shared" si="18"/>
        <v>0</v>
      </c>
      <c r="Q257">
        <f>IF(F257="","",IFERROR(INDEX(场景库!$B:$B,MATCH(F257,场景库!$A:$A,0)),1))</f>
        <v>0</v>
      </c>
      <c r="R257">
        <f>IF(G257="","",IFERROR(INDEX(场景库!$E:$E,MATCH(G257,场景库!$D:$D,0)),1))</f>
        <v>0</v>
      </c>
      <c r="S257">
        <f t="shared" si="19"/>
        <v>0</v>
      </c>
      <c r="T257">
        <f t="shared" si="20"/>
        <v>0</v>
      </c>
      <c r="U257">
        <f t="shared" si="21"/>
        <v>0</v>
      </c>
      <c r="X257">
        <f t="shared" si="22"/>
        <v>0</v>
      </c>
      <c r="Y257">
        <f t="shared" si="23"/>
        <v>0</v>
      </c>
    </row>
    <row r="258" spans="16:25">
      <c r="P258">
        <f t="shared" ref="P258:P301" si="24">IF(COUNTA(I258:O258)=0,"",ROUND((I258*0.15+J258*0.15+K258*0.25+L258*0.25+O258*0.1+(6-M258)*0.05+(6-N258)*0.05)/5*100,1))</f>
        <v>0</v>
      </c>
      <c r="Q258">
        <f>IF(F258="","",IFERROR(INDEX(场景库!$B:$B,MATCH(F258,场景库!$A:$A,0)),1))</f>
        <v>0</v>
      </c>
      <c r="R258">
        <f>IF(G258="","",IFERROR(INDEX(场景库!$E:$E,MATCH(G258,场景库!$D:$D,0)),1))</f>
        <v>0</v>
      </c>
      <c r="S258">
        <f t="shared" ref="S258:S301" si="25">IF(P258="","",ROUND(MIN(100,P258*Q258*R258),1))</f>
        <v>0</v>
      </c>
      <c r="T258">
        <f t="shared" ref="T258:T301" si="26">IF(S258="","",ROUND(100-S258,1))</f>
        <v>0</v>
      </c>
      <c r="U258">
        <f t="shared" ref="U258:U301" si="27">IF(X258="","",IF(X258&gt;=80,"严重",IF(X258&gt;=60,"高",IF(X258&gt;=40,"中","低"))))</f>
        <v>0</v>
      </c>
      <c r="X258">
        <f t="shared" ref="X258:X301" si="28">IF(S258="","",IF(W258="",S258,W258))</f>
        <v>0</v>
      </c>
      <c r="Y258">
        <f t="shared" ref="Y258:Y301" si="29">IF(X258="","",ROUND(100-X258,1))</f>
        <v>0</v>
      </c>
    </row>
    <row r="259" spans="16:25">
      <c r="P259">
        <f t="shared" si="24"/>
        <v>0</v>
      </c>
      <c r="Q259">
        <f>IF(F259="","",IFERROR(INDEX(场景库!$B:$B,MATCH(F259,场景库!$A:$A,0)),1))</f>
        <v>0</v>
      </c>
      <c r="R259">
        <f>IF(G259="","",IFERROR(INDEX(场景库!$E:$E,MATCH(G259,场景库!$D:$D,0)),1))</f>
        <v>0</v>
      </c>
      <c r="S259">
        <f t="shared" si="25"/>
        <v>0</v>
      </c>
      <c r="T259">
        <f t="shared" si="26"/>
        <v>0</v>
      </c>
      <c r="U259">
        <f t="shared" si="27"/>
        <v>0</v>
      </c>
      <c r="X259">
        <f t="shared" si="28"/>
        <v>0</v>
      </c>
      <c r="Y259">
        <f t="shared" si="29"/>
        <v>0</v>
      </c>
    </row>
    <row r="260" spans="16:25">
      <c r="P260">
        <f t="shared" si="24"/>
        <v>0</v>
      </c>
      <c r="Q260">
        <f>IF(F260="","",IFERROR(INDEX(场景库!$B:$B,MATCH(F260,场景库!$A:$A,0)),1))</f>
        <v>0</v>
      </c>
      <c r="R260">
        <f>IF(G260="","",IFERROR(INDEX(场景库!$E:$E,MATCH(G260,场景库!$D:$D,0)),1))</f>
        <v>0</v>
      </c>
      <c r="S260">
        <f t="shared" si="25"/>
        <v>0</v>
      </c>
      <c r="T260">
        <f t="shared" si="26"/>
        <v>0</v>
      </c>
      <c r="U260">
        <f t="shared" si="27"/>
        <v>0</v>
      </c>
      <c r="X260">
        <f t="shared" si="28"/>
        <v>0</v>
      </c>
      <c r="Y260">
        <f t="shared" si="29"/>
        <v>0</v>
      </c>
    </row>
    <row r="261" spans="16:25">
      <c r="P261">
        <f t="shared" si="24"/>
        <v>0</v>
      </c>
      <c r="Q261">
        <f>IF(F261="","",IFERROR(INDEX(场景库!$B:$B,MATCH(F261,场景库!$A:$A,0)),1))</f>
        <v>0</v>
      </c>
      <c r="R261">
        <f>IF(G261="","",IFERROR(INDEX(场景库!$E:$E,MATCH(G261,场景库!$D:$D,0)),1))</f>
        <v>0</v>
      </c>
      <c r="S261">
        <f t="shared" si="25"/>
        <v>0</v>
      </c>
      <c r="T261">
        <f t="shared" si="26"/>
        <v>0</v>
      </c>
      <c r="U261">
        <f t="shared" si="27"/>
        <v>0</v>
      </c>
      <c r="X261">
        <f t="shared" si="28"/>
        <v>0</v>
      </c>
      <c r="Y261">
        <f t="shared" si="29"/>
        <v>0</v>
      </c>
    </row>
    <row r="262" spans="16:25">
      <c r="P262">
        <f t="shared" si="24"/>
        <v>0</v>
      </c>
      <c r="Q262">
        <f>IF(F262="","",IFERROR(INDEX(场景库!$B:$B,MATCH(F262,场景库!$A:$A,0)),1))</f>
        <v>0</v>
      </c>
      <c r="R262">
        <f>IF(G262="","",IFERROR(INDEX(场景库!$E:$E,MATCH(G262,场景库!$D:$D,0)),1))</f>
        <v>0</v>
      </c>
      <c r="S262">
        <f t="shared" si="25"/>
        <v>0</v>
      </c>
      <c r="T262">
        <f t="shared" si="26"/>
        <v>0</v>
      </c>
      <c r="U262">
        <f t="shared" si="27"/>
        <v>0</v>
      </c>
      <c r="X262">
        <f t="shared" si="28"/>
        <v>0</v>
      </c>
      <c r="Y262">
        <f t="shared" si="29"/>
        <v>0</v>
      </c>
    </row>
    <row r="263" spans="16:25">
      <c r="P263">
        <f t="shared" si="24"/>
        <v>0</v>
      </c>
      <c r="Q263">
        <f>IF(F263="","",IFERROR(INDEX(场景库!$B:$B,MATCH(F263,场景库!$A:$A,0)),1))</f>
        <v>0</v>
      </c>
      <c r="R263">
        <f>IF(G263="","",IFERROR(INDEX(场景库!$E:$E,MATCH(G263,场景库!$D:$D,0)),1))</f>
        <v>0</v>
      </c>
      <c r="S263">
        <f t="shared" si="25"/>
        <v>0</v>
      </c>
      <c r="T263">
        <f t="shared" si="26"/>
        <v>0</v>
      </c>
      <c r="U263">
        <f t="shared" si="27"/>
        <v>0</v>
      </c>
      <c r="X263">
        <f t="shared" si="28"/>
        <v>0</v>
      </c>
      <c r="Y263">
        <f t="shared" si="29"/>
        <v>0</v>
      </c>
    </row>
    <row r="264" spans="16:25">
      <c r="P264">
        <f t="shared" si="24"/>
        <v>0</v>
      </c>
      <c r="Q264">
        <f>IF(F264="","",IFERROR(INDEX(场景库!$B:$B,MATCH(F264,场景库!$A:$A,0)),1))</f>
        <v>0</v>
      </c>
      <c r="R264">
        <f>IF(G264="","",IFERROR(INDEX(场景库!$E:$E,MATCH(G264,场景库!$D:$D,0)),1))</f>
        <v>0</v>
      </c>
      <c r="S264">
        <f t="shared" si="25"/>
        <v>0</v>
      </c>
      <c r="T264">
        <f t="shared" si="26"/>
        <v>0</v>
      </c>
      <c r="U264">
        <f t="shared" si="27"/>
        <v>0</v>
      </c>
      <c r="X264">
        <f t="shared" si="28"/>
        <v>0</v>
      </c>
      <c r="Y264">
        <f t="shared" si="29"/>
        <v>0</v>
      </c>
    </row>
    <row r="265" spans="16:25">
      <c r="P265">
        <f t="shared" si="24"/>
        <v>0</v>
      </c>
      <c r="Q265">
        <f>IF(F265="","",IFERROR(INDEX(场景库!$B:$B,MATCH(F265,场景库!$A:$A,0)),1))</f>
        <v>0</v>
      </c>
      <c r="R265">
        <f>IF(G265="","",IFERROR(INDEX(场景库!$E:$E,MATCH(G265,场景库!$D:$D,0)),1))</f>
        <v>0</v>
      </c>
      <c r="S265">
        <f t="shared" si="25"/>
        <v>0</v>
      </c>
      <c r="T265">
        <f t="shared" si="26"/>
        <v>0</v>
      </c>
      <c r="U265">
        <f t="shared" si="27"/>
        <v>0</v>
      </c>
      <c r="X265">
        <f t="shared" si="28"/>
        <v>0</v>
      </c>
      <c r="Y265">
        <f t="shared" si="29"/>
        <v>0</v>
      </c>
    </row>
    <row r="266" spans="16:25">
      <c r="P266">
        <f t="shared" si="24"/>
        <v>0</v>
      </c>
      <c r="Q266">
        <f>IF(F266="","",IFERROR(INDEX(场景库!$B:$B,MATCH(F266,场景库!$A:$A,0)),1))</f>
        <v>0</v>
      </c>
      <c r="R266">
        <f>IF(G266="","",IFERROR(INDEX(场景库!$E:$E,MATCH(G266,场景库!$D:$D,0)),1))</f>
        <v>0</v>
      </c>
      <c r="S266">
        <f t="shared" si="25"/>
        <v>0</v>
      </c>
      <c r="T266">
        <f t="shared" si="26"/>
        <v>0</v>
      </c>
      <c r="U266">
        <f t="shared" si="27"/>
        <v>0</v>
      </c>
      <c r="X266">
        <f t="shared" si="28"/>
        <v>0</v>
      </c>
      <c r="Y266">
        <f t="shared" si="29"/>
        <v>0</v>
      </c>
    </row>
    <row r="267" spans="16:25">
      <c r="P267">
        <f t="shared" si="24"/>
        <v>0</v>
      </c>
      <c r="Q267">
        <f>IF(F267="","",IFERROR(INDEX(场景库!$B:$B,MATCH(F267,场景库!$A:$A,0)),1))</f>
        <v>0</v>
      </c>
      <c r="R267">
        <f>IF(G267="","",IFERROR(INDEX(场景库!$E:$E,MATCH(G267,场景库!$D:$D,0)),1))</f>
        <v>0</v>
      </c>
      <c r="S267">
        <f t="shared" si="25"/>
        <v>0</v>
      </c>
      <c r="T267">
        <f t="shared" si="26"/>
        <v>0</v>
      </c>
      <c r="U267">
        <f t="shared" si="27"/>
        <v>0</v>
      </c>
      <c r="X267">
        <f t="shared" si="28"/>
        <v>0</v>
      </c>
      <c r="Y267">
        <f t="shared" si="29"/>
        <v>0</v>
      </c>
    </row>
    <row r="268" spans="16:25">
      <c r="P268">
        <f t="shared" si="24"/>
        <v>0</v>
      </c>
      <c r="Q268">
        <f>IF(F268="","",IFERROR(INDEX(场景库!$B:$B,MATCH(F268,场景库!$A:$A,0)),1))</f>
        <v>0</v>
      </c>
      <c r="R268">
        <f>IF(G268="","",IFERROR(INDEX(场景库!$E:$E,MATCH(G268,场景库!$D:$D,0)),1))</f>
        <v>0</v>
      </c>
      <c r="S268">
        <f t="shared" si="25"/>
        <v>0</v>
      </c>
      <c r="T268">
        <f t="shared" si="26"/>
        <v>0</v>
      </c>
      <c r="U268">
        <f t="shared" si="27"/>
        <v>0</v>
      </c>
      <c r="X268">
        <f t="shared" si="28"/>
        <v>0</v>
      </c>
      <c r="Y268">
        <f t="shared" si="29"/>
        <v>0</v>
      </c>
    </row>
    <row r="269" spans="16:25">
      <c r="P269">
        <f t="shared" si="24"/>
        <v>0</v>
      </c>
      <c r="Q269">
        <f>IF(F269="","",IFERROR(INDEX(场景库!$B:$B,MATCH(F269,场景库!$A:$A,0)),1))</f>
        <v>0</v>
      </c>
      <c r="R269">
        <f>IF(G269="","",IFERROR(INDEX(场景库!$E:$E,MATCH(G269,场景库!$D:$D,0)),1))</f>
        <v>0</v>
      </c>
      <c r="S269">
        <f t="shared" si="25"/>
        <v>0</v>
      </c>
      <c r="T269">
        <f t="shared" si="26"/>
        <v>0</v>
      </c>
      <c r="U269">
        <f t="shared" si="27"/>
        <v>0</v>
      </c>
      <c r="X269">
        <f t="shared" si="28"/>
        <v>0</v>
      </c>
      <c r="Y269">
        <f t="shared" si="29"/>
        <v>0</v>
      </c>
    </row>
    <row r="270" spans="16:25">
      <c r="P270">
        <f t="shared" si="24"/>
        <v>0</v>
      </c>
      <c r="Q270">
        <f>IF(F270="","",IFERROR(INDEX(场景库!$B:$B,MATCH(F270,场景库!$A:$A,0)),1))</f>
        <v>0</v>
      </c>
      <c r="R270">
        <f>IF(G270="","",IFERROR(INDEX(场景库!$E:$E,MATCH(G270,场景库!$D:$D,0)),1))</f>
        <v>0</v>
      </c>
      <c r="S270">
        <f t="shared" si="25"/>
        <v>0</v>
      </c>
      <c r="T270">
        <f t="shared" si="26"/>
        <v>0</v>
      </c>
      <c r="U270">
        <f t="shared" si="27"/>
        <v>0</v>
      </c>
      <c r="X270">
        <f t="shared" si="28"/>
        <v>0</v>
      </c>
      <c r="Y270">
        <f t="shared" si="29"/>
        <v>0</v>
      </c>
    </row>
    <row r="271" spans="16:25">
      <c r="P271">
        <f t="shared" si="24"/>
        <v>0</v>
      </c>
      <c r="Q271">
        <f>IF(F271="","",IFERROR(INDEX(场景库!$B:$B,MATCH(F271,场景库!$A:$A,0)),1))</f>
        <v>0</v>
      </c>
      <c r="R271">
        <f>IF(G271="","",IFERROR(INDEX(场景库!$E:$E,MATCH(G271,场景库!$D:$D,0)),1))</f>
        <v>0</v>
      </c>
      <c r="S271">
        <f t="shared" si="25"/>
        <v>0</v>
      </c>
      <c r="T271">
        <f t="shared" si="26"/>
        <v>0</v>
      </c>
      <c r="U271">
        <f t="shared" si="27"/>
        <v>0</v>
      </c>
      <c r="X271">
        <f t="shared" si="28"/>
        <v>0</v>
      </c>
      <c r="Y271">
        <f t="shared" si="29"/>
        <v>0</v>
      </c>
    </row>
    <row r="272" spans="16:25">
      <c r="P272">
        <f t="shared" si="24"/>
        <v>0</v>
      </c>
      <c r="Q272">
        <f>IF(F272="","",IFERROR(INDEX(场景库!$B:$B,MATCH(F272,场景库!$A:$A,0)),1))</f>
        <v>0</v>
      </c>
      <c r="R272">
        <f>IF(G272="","",IFERROR(INDEX(场景库!$E:$E,MATCH(G272,场景库!$D:$D,0)),1))</f>
        <v>0</v>
      </c>
      <c r="S272">
        <f t="shared" si="25"/>
        <v>0</v>
      </c>
      <c r="T272">
        <f t="shared" si="26"/>
        <v>0</v>
      </c>
      <c r="U272">
        <f t="shared" si="27"/>
        <v>0</v>
      </c>
      <c r="X272">
        <f t="shared" si="28"/>
        <v>0</v>
      </c>
      <c r="Y272">
        <f t="shared" si="29"/>
        <v>0</v>
      </c>
    </row>
    <row r="273" spans="16:25">
      <c r="P273">
        <f t="shared" si="24"/>
        <v>0</v>
      </c>
      <c r="Q273">
        <f>IF(F273="","",IFERROR(INDEX(场景库!$B:$B,MATCH(F273,场景库!$A:$A,0)),1))</f>
        <v>0</v>
      </c>
      <c r="R273">
        <f>IF(G273="","",IFERROR(INDEX(场景库!$E:$E,MATCH(G273,场景库!$D:$D,0)),1))</f>
        <v>0</v>
      </c>
      <c r="S273">
        <f t="shared" si="25"/>
        <v>0</v>
      </c>
      <c r="T273">
        <f t="shared" si="26"/>
        <v>0</v>
      </c>
      <c r="U273">
        <f t="shared" si="27"/>
        <v>0</v>
      </c>
      <c r="X273">
        <f t="shared" si="28"/>
        <v>0</v>
      </c>
      <c r="Y273">
        <f t="shared" si="29"/>
        <v>0</v>
      </c>
    </row>
    <row r="274" spans="16:25">
      <c r="P274">
        <f t="shared" si="24"/>
        <v>0</v>
      </c>
      <c r="Q274">
        <f>IF(F274="","",IFERROR(INDEX(场景库!$B:$B,MATCH(F274,场景库!$A:$A,0)),1))</f>
        <v>0</v>
      </c>
      <c r="R274">
        <f>IF(G274="","",IFERROR(INDEX(场景库!$E:$E,MATCH(G274,场景库!$D:$D,0)),1))</f>
        <v>0</v>
      </c>
      <c r="S274">
        <f t="shared" si="25"/>
        <v>0</v>
      </c>
      <c r="T274">
        <f t="shared" si="26"/>
        <v>0</v>
      </c>
      <c r="U274">
        <f t="shared" si="27"/>
        <v>0</v>
      </c>
      <c r="X274">
        <f t="shared" si="28"/>
        <v>0</v>
      </c>
      <c r="Y274">
        <f t="shared" si="29"/>
        <v>0</v>
      </c>
    </row>
    <row r="275" spans="16:25">
      <c r="P275">
        <f t="shared" si="24"/>
        <v>0</v>
      </c>
      <c r="Q275">
        <f>IF(F275="","",IFERROR(INDEX(场景库!$B:$B,MATCH(F275,场景库!$A:$A,0)),1))</f>
        <v>0</v>
      </c>
      <c r="R275">
        <f>IF(G275="","",IFERROR(INDEX(场景库!$E:$E,MATCH(G275,场景库!$D:$D,0)),1))</f>
        <v>0</v>
      </c>
      <c r="S275">
        <f t="shared" si="25"/>
        <v>0</v>
      </c>
      <c r="T275">
        <f t="shared" si="26"/>
        <v>0</v>
      </c>
      <c r="U275">
        <f t="shared" si="27"/>
        <v>0</v>
      </c>
      <c r="X275">
        <f t="shared" si="28"/>
        <v>0</v>
      </c>
      <c r="Y275">
        <f t="shared" si="29"/>
        <v>0</v>
      </c>
    </row>
    <row r="276" spans="16:25">
      <c r="P276">
        <f t="shared" si="24"/>
        <v>0</v>
      </c>
      <c r="Q276">
        <f>IF(F276="","",IFERROR(INDEX(场景库!$B:$B,MATCH(F276,场景库!$A:$A,0)),1))</f>
        <v>0</v>
      </c>
      <c r="R276">
        <f>IF(G276="","",IFERROR(INDEX(场景库!$E:$E,MATCH(G276,场景库!$D:$D,0)),1))</f>
        <v>0</v>
      </c>
      <c r="S276">
        <f t="shared" si="25"/>
        <v>0</v>
      </c>
      <c r="T276">
        <f t="shared" si="26"/>
        <v>0</v>
      </c>
      <c r="U276">
        <f t="shared" si="27"/>
        <v>0</v>
      </c>
      <c r="X276">
        <f t="shared" si="28"/>
        <v>0</v>
      </c>
      <c r="Y276">
        <f t="shared" si="29"/>
        <v>0</v>
      </c>
    </row>
    <row r="277" spans="16:25">
      <c r="P277">
        <f t="shared" si="24"/>
        <v>0</v>
      </c>
      <c r="Q277">
        <f>IF(F277="","",IFERROR(INDEX(场景库!$B:$B,MATCH(F277,场景库!$A:$A,0)),1))</f>
        <v>0</v>
      </c>
      <c r="R277">
        <f>IF(G277="","",IFERROR(INDEX(场景库!$E:$E,MATCH(G277,场景库!$D:$D,0)),1))</f>
        <v>0</v>
      </c>
      <c r="S277">
        <f t="shared" si="25"/>
        <v>0</v>
      </c>
      <c r="T277">
        <f t="shared" si="26"/>
        <v>0</v>
      </c>
      <c r="U277">
        <f t="shared" si="27"/>
        <v>0</v>
      </c>
      <c r="X277">
        <f t="shared" si="28"/>
        <v>0</v>
      </c>
      <c r="Y277">
        <f t="shared" si="29"/>
        <v>0</v>
      </c>
    </row>
    <row r="278" spans="16:25">
      <c r="P278">
        <f t="shared" si="24"/>
        <v>0</v>
      </c>
      <c r="Q278">
        <f>IF(F278="","",IFERROR(INDEX(场景库!$B:$B,MATCH(F278,场景库!$A:$A,0)),1))</f>
        <v>0</v>
      </c>
      <c r="R278">
        <f>IF(G278="","",IFERROR(INDEX(场景库!$E:$E,MATCH(G278,场景库!$D:$D,0)),1))</f>
        <v>0</v>
      </c>
      <c r="S278">
        <f t="shared" si="25"/>
        <v>0</v>
      </c>
      <c r="T278">
        <f t="shared" si="26"/>
        <v>0</v>
      </c>
      <c r="U278">
        <f t="shared" si="27"/>
        <v>0</v>
      </c>
      <c r="X278">
        <f t="shared" si="28"/>
        <v>0</v>
      </c>
      <c r="Y278">
        <f t="shared" si="29"/>
        <v>0</v>
      </c>
    </row>
    <row r="279" spans="16:25">
      <c r="P279">
        <f t="shared" si="24"/>
        <v>0</v>
      </c>
      <c r="Q279">
        <f>IF(F279="","",IFERROR(INDEX(场景库!$B:$B,MATCH(F279,场景库!$A:$A,0)),1))</f>
        <v>0</v>
      </c>
      <c r="R279">
        <f>IF(G279="","",IFERROR(INDEX(场景库!$E:$E,MATCH(G279,场景库!$D:$D,0)),1))</f>
        <v>0</v>
      </c>
      <c r="S279">
        <f t="shared" si="25"/>
        <v>0</v>
      </c>
      <c r="T279">
        <f t="shared" si="26"/>
        <v>0</v>
      </c>
      <c r="U279">
        <f t="shared" si="27"/>
        <v>0</v>
      </c>
      <c r="X279">
        <f t="shared" si="28"/>
        <v>0</v>
      </c>
      <c r="Y279">
        <f t="shared" si="29"/>
        <v>0</v>
      </c>
    </row>
    <row r="280" spans="16:25">
      <c r="P280">
        <f t="shared" si="24"/>
        <v>0</v>
      </c>
      <c r="Q280">
        <f>IF(F280="","",IFERROR(INDEX(场景库!$B:$B,MATCH(F280,场景库!$A:$A,0)),1))</f>
        <v>0</v>
      </c>
      <c r="R280">
        <f>IF(G280="","",IFERROR(INDEX(场景库!$E:$E,MATCH(G280,场景库!$D:$D,0)),1))</f>
        <v>0</v>
      </c>
      <c r="S280">
        <f t="shared" si="25"/>
        <v>0</v>
      </c>
      <c r="T280">
        <f t="shared" si="26"/>
        <v>0</v>
      </c>
      <c r="U280">
        <f t="shared" si="27"/>
        <v>0</v>
      </c>
      <c r="X280">
        <f t="shared" si="28"/>
        <v>0</v>
      </c>
      <c r="Y280">
        <f t="shared" si="29"/>
        <v>0</v>
      </c>
    </row>
    <row r="281" spans="16:25">
      <c r="P281">
        <f t="shared" si="24"/>
        <v>0</v>
      </c>
      <c r="Q281">
        <f>IF(F281="","",IFERROR(INDEX(场景库!$B:$B,MATCH(F281,场景库!$A:$A,0)),1))</f>
        <v>0</v>
      </c>
      <c r="R281">
        <f>IF(G281="","",IFERROR(INDEX(场景库!$E:$E,MATCH(G281,场景库!$D:$D,0)),1))</f>
        <v>0</v>
      </c>
      <c r="S281">
        <f t="shared" si="25"/>
        <v>0</v>
      </c>
      <c r="T281">
        <f t="shared" si="26"/>
        <v>0</v>
      </c>
      <c r="U281">
        <f t="shared" si="27"/>
        <v>0</v>
      </c>
      <c r="X281">
        <f t="shared" si="28"/>
        <v>0</v>
      </c>
      <c r="Y281">
        <f t="shared" si="29"/>
        <v>0</v>
      </c>
    </row>
    <row r="282" spans="16:25">
      <c r="P282">
        <f t="shared" si="24"/>
        <v>0</v>
      </c>
      <c r="Q282">
        <f>IF(F282="","",IFERROR(INDEX(场景库!$B:$B,MATCH(F282,场景库!$A:$A,0)),1))</f>
        <v>0</v>
      </c>
      <c r="R282">
        <f>IF(G282="","",IFERROR(INDEX(场景库!$E:$E,MATCH(G282,场景库!$D:$D,0)),1))</f>
        <v>0</v>
      </c>
      <c r="S282">
        <f t="shared" si="25"/>
        <v>0</v>
      </c>
      <c r="T282">
        <f t="shared" si="26"/>
        <v>0</v>
      </c>
      <c r="U282">
        <f t="shared" si="27"/>
        <v>0</v>
      </c>
      <c r="X282">
        <f t="shared" si="28"/>
        <v>0</v>
      </c>
      <c r="Y282">
        <f t="shared" si="29"/>
        <v>0</v>
      </c>
    </row>
    <row r="283" spans="16:25">
      <c r="P283">
        <f t="shared" si="24"/>
        <v>0</v>
      </c>
      <c r="Q283">
        <f>IF(F283="","",IFERROR(INDEX(场景库!$B:$B,MATCH(F283,场景库!$A:$A,0)),1))</f>
        <v>0</v>
      </c>
      <c r="R283">
        <f>IF(G283="","",IFERROR(INDEX(场景库!$E:$E,MATCH(G283,场景库!$D:$D,0)),1))</f>
        <v>0</v>
      </c>
      <c r="S283">
        <f t="shared" si="25"/>
        <v>0</v>
      </c>
      <c r="T283">
        <f t="shared" si="26"/>
        <v>0</v>
      </c>
      <c r="U283">
        <f t="shared" si="27"/>
        <v>0</v>
      </c>
      <c r="X283">
        <f t="shared" si="28"/>
        <v>0</v>
      </c>
      <c r="Y283">
        <f t="shared" si="29"/>
        <v>0</v>
      </c>
    </row>
    <row r="284" spans="16:25">
      <c r="P284">
        <f t="shared" si="24"/>
        <v>0</v>
      </c>
      <c r="Q284">
        <f>IF(F284="","",IFERROR(INDEX(场景库!$B:$B,MATCH(F284,场景库!$A:$A,0)),1))</f>
        <v>0</v>
      </c>
      <c r="R284">
        <f>IF(G284="","",IFERROR(INDEX(场景库!$E:$E,MATCH(G284,场景库!$D:$D,0)),1))</f>
        <v>0</v>
      </c>
      <c r="S284">
        <f t="shared" si="25"/>
        <v>0</v>
      </c>
      <c r="T284">
        <f t="shared" si="26"/>
        <v>0</v>
      </c>
      <c r="U284">
        <f t="shared" si="27"/>
        <v>0</v>
      </c>
      <c r="X284">
        <f t="shared" si="28"/>
        <v>0</v>
      </c>
      <c r="Y284">
        <f t="shared" si="29"/>
        <v>0</v>
      </c>
    </row>
    <row r="285" spans="16:25">
      <c r="P285">
        <f t="shared" si="24"/>
        <v>0</v>
      </c>
      <c r="Q285">
        <f>IF(F285="","",IFERROR(INDEX(场景库!$B:$B,MATCH(F285,场景库!$A:$A,0)),1))</f>
        <v>0</v>
      </c>
      <c r="R285">
        <f>IF(G285="","",IFERROR(INDEX(场景库!$E:$E,MATCH(G285,场景库!$D:$D,0)),1))</f>
        <v>0</v>
      </c>
      <c r="S285">
        <f t="shared" si="25"/>
        <v>0</v>
      </c>
      <c r="T285">
        <f t="shared" si="26"/>
        <v>0</v>
      </c>
      <c r="U285">
        <f t="shared" si="27"/>
        <v>0</v>
      </c>
      <c r="X285">
        <f t="shared" si="28"/>
        <v>0</v>
      </c>
      <c r="Y285">
        <f t="shared" si="29"/>
        <v>0</v>
      </c>
    </row>
    <row r="286" spans="16:25">
      <c r="P286">
        <f t="shared" si="24"/>
        <v>0</v>
      </c>
      <c r="Q286">
        <f>IF(F286="","",IFERROR(INDEX(场景库!$B:$B,MATCH(F286,场景库!$A:$A,0)),1))</f>
        <v>0</v>
      </c>
      <c r="R286">
        <f>IF(G286="","",IFERROR(INDEX(场景库!$E:$E,MATCH(G286,场景库!$D:$D,0)),1))</f>
        <v>0</v>
      </c>
      <c r="S286">
        <f t="shared" si="25"/>
        <v>0</v>
      </c>
      <c r="T286">
        <f t="shared" si="26"/>
        <v>0</v>
      </c>
      <c r="U286">
        <f t="shared" si="27"/>
        <v>0</v>
      </c>
      <c r="X286">
        <f t="shared" si="28"/>
        <v>0</v>
      </c>
      <c r="Y286">
        <f t="shared" si="29"/>
        <v>0</v>
      </c>
    </row>
    <row r="287" spans="16:25">
      <c r="P287">
        <f t="shared" si="24"/>
        <v>0</v>
      </c>
      <c r="Q287">
        <f>IF(F287="","",IFERROR(INDEX(场景库!$B:$B,MATCH(F287,场景库!$A:$A,0)),1))</f>
        <v>0</v>
      </c>
      <c r="R287">
        <f>IF(G287="","",IFERROR(INDEX(场景库!$E:$E,MATCH(G287,场景库!$D:$D,0)),1))</f>
        <v>0</v>
      </c>
      <c r="S287">
        <f t="shared" si="25"/>
        <v>0</v>
      </c>
      <c r="T287">
        <f t="shared" si="26"/>
        <v>0</v>
      </c>
      <c r="U287">
        <f t="shared" si="27"/>
        <v>0</v>
      </c>
      <c r="X287">
        <f t="shared" si="28"/>
        <v>0</v>
      </c>
      <c r="Y287">
        <f t="shared" si="29"/>
        <v>0</v>
      </c>
    </row>
    <row r="288" spans="16:25">
      <c r="P288">
        <f t="shared" si="24"/>
        <v>0</v>
      </c>
      <c r="Q288">
        <f>IF(F288="","",IFERROR(INDEX(场景库!$B:$B,MATCH(F288,场景库!$A:$A,0)),1))</f>
        <v>0</v>
      </c>
      <c r="R288">
        <f>IF(G288="","",IFERROR(INDEX(场景库!$E:$E,MATCH(G288,场景库!$D:$D,0)),1))</f>
        <v>0</v>
      </c>
      <c r="S288">
        <f t="shared" si="25"/>
        <v>0</v>
      </c>
      <c r="T288">
        <f t="shared" si="26"/>
        <v>0</v>
      </c>
      <c r="U288">
        <f t="shared" si="27"/>
        <v>0</v>
      </c>
      <c r="X288">
        <f t="shared" si="28"/>
        <v>0</v>
      </c>
      <c r="Y288">
        <f t="shared" si="29"/>
        <v>0</v>
      </c>
    </row>
    <row r="289" spans="16:25">
      <c r="P289">
        <f t="shared" si="24"/>
        <v>0</v>
      </c>
      <c r="Q289">
        <f>IF(F289="","",IFERROR(INDEX(场景库!$B:$B,MATCH(F289,场景库!$A:$A,0)),1))</f>
        <v>0</v>
      </c>
      <c r="R289">
        <f>IF(G289="","",IFERROR(INDEX(场景库!$E:$E,MATCH(G289,场景库!$D:$D,0)),1))</f>
        <v>0</v>
      </c>
      <c r="S289">
        <f t="shared" si="25"/>
        <v>0</v>
      </c>
      <c r="T289">
        <f t="shared" si="26"/>
        <v>0</v>
      </c>
      <c r="U289">
        <f t="shared" si="27"/>
        <v>0</v>
      </c>
      <c r="X289">
        <f t="shared" si="28"/>
        <v>0</v>
      </c>
      <c r="Y289">
        <f t="shared" si="29"/>
        <v>0</v>
      </c>
    </row>
    <row r="290" spans="16:25">
      <c r="P290">
        <f t="shared" si="24"/>
        <v>0</v>
      </c>
      <c r="Q290">
        <f>IF(F290="","",IFERROR(INDEX(场景库!$B:$B,MATCH(F290,场景库!$A:$A,0)),1))</f>
        <v>0</v>
      </c>
      <c r="R290">
        <f>IF(G290="","",IFERROR(INDEX(场景库!$E:$E,MATCH(G290,场景库!$D:$D,0)),1))</f>
        <v>0</v>
      </c>
      <c r="S290">
        <f t="shared" si="25"/>
        <v>0</v>
      </c>
      <c r="T290">
        <f t="shared" si="26"/>
        <v>0</v>
      </c>
      <c r="U290">
        <f t="shared" si="27"/>
        <v>0</v>
      </c>
      <c r="X290">
        <f t="shared" si="28"/>
        <v>0</v>
      </c>
      <c r="Y290">
        <f t="shared" si="29"/>
        <v>0</v>
      </c>
    </row>
    <row r="291" spans="16:25">
      <c r="P291">
        <f t="shared" si="24"/>
        <v>0</v>
      </c>
      <c r="Q291">
        <f>IF(F291="","",IFERROR(INDEX(场景库!$B:$B,MATCH(F291,场景库!$A:$A,0)),1))</f>
        <v>0</v>
      </c>
      <c r="R291">
        <f>IF(G291="","",IFERROR(INDEX(场景库!$E:$E,MATCH(G291,场景库!$D:$D,0)),1))</f>
        <v>0</v>
      </c>
      <c r="S291">
        <f t="shared" si="25"/>
        <v>0</v>
      </c>
      <c r="T291">
        <f t="shared" si="26"/>
        <v>0</v>
      </c>
      <c r="U291">
        <f t="shared" si="27"/>
        <v>0</v>
      </c>
      <c r="X291">
        <f t="shared" si="28"/>
        <v>0</v>
      </c>
      <c r="Y291">
        <f t="shared" si="29"/>
        <v>0</v>
      </c>
    </row>
    <row r="292" spans="16:25">
      <c r="P292">
        <f t="shared" si="24"/>
        <v>0</v>
      </c>
      <c r="Q292">
        <f>IF(F292="","",IFERROR(INDEX(场景库!$B:$B,MATCH(F292,场景库!$A:$A,0)),1))</f>
        <v>0</v>
      </c>
      <c r="R292">
        <f>IF(G292="","",IFERROR(INDEX(场景库!$E:$E,MATCH(G292,场景库!$D:$D,0)),1))</f>
        <v>0</v>
      </c>
      <c r="S292">
        <f t="shared" si="25"/>
        <v>0</v>
      </c>
      <c r="T292">
        <f t="shared" si="26"/>
        <v>0</v>
      </c>
      <c r="U292">
        <f t="shared" si="27"/>
        <v>0</v>
      </c>
      <c r="X292">
        <f t="shared" si="28"/>
        <v>0</v>
      </c>
      <c r="Y292">
        <f t="shared" si="29"/>
        <v>0</v>
      </c>
    </row>
    <row r="293" spans="16:25">
      <c r="P293">
        <f t="shared" si="24"/>
        <v>0</v>
      </c>
      <c r="Q293">
        <f>IF(F293="","",IFERROR(INDEX(场景库!$B:$B,MATCH(F293,场景库!$A:$A,0)),1))</f>
        <v>0</v>
      </c>
      <c r="R293">
        <f>IF(G293="","",IFERROR(INDEX(场景库!$E:$E,MATCH(G293,场景库!$D:$D,0)),1))</f>
        <v>0</v>
      </c>
      <c r="S293">
        <f t="shared" si="25"/>
        <v>0</v>
      </c>
      <c r="T293">
        <f t="shared" si="26"/>
        <v>0</v>
      </c>
      <c r="U293">
        <f t="shared" si="27"/>
        <v>0</v>
      </c>
      <c r="X293">
        <f t="shared" si="28"/>
        <v>0</v>
      </c>
      <c r="Y293">
        <f t="shared" si="29"/>
        <v>0</v>
      </c>
    </row>
    <row r="294" spans="16:25">
      <c r="P294">
        <f t="shared" si="24"/>
        <v>0</v>
      </c>
      <c r="Q294">
        <f>IF(F294="","",IFERROR(INDEX(场景库!$B:$B,MATCH(F294,场景库!$A:$A,0)),1))</f>
        <v>0</v>
      </c>
      <c r="R294">
        <f>IF(G294="","",IFERROR(INDEX(场景库!$E:$E,MATCH(G294,场景库!$D:$D,0)),1))</f>
        <v>0</v>
      </c>
      <c r="S294">
        <f t="shared" si="25"/>
        <v>0</v>
      </c>
      <c r="T294">
        <f t="shared" si="26"/>
        <v>0</v>
      </c>
      <c r="U294">
        <f t="shared" si="27"/>
        <v>0</v>
      </c>
      <c r="X294">
        <f t="shared" si="28"/>
        <v>0</v>
      </c>
      <c r="Y294">
        <f t="shared" si="29"/>
        <v>0</v>
      </c>
    </row>
    <row r="295" spans="16:25">
      <c r="P295">
        <f t="shared" si="24"/>
        <v>0</v>
      </c>
      <c r="Q295">
        <f>IF(F295="","",IFERROR(INDEX(场景库!$B:$B,MATCH(F295,场景库!$A:$A,0)),1))</f>
        <v>0</v>
      </c>
      <c r="R295">
        <f>IF(G295="","",IFERROR(INDEX(场景库!$E:$E,MATCH(G295,场景库!$D:$D,0)),1))</f>
        <v>0</v>
      </c>
      <c r="S295">
        <f t="shared" si="25"/>
        <v>0</v>
      </c>
      <c r="T295">
        <f t="shared" si="26"/>
        <v>0</v>
      </c>
      <c r="U295">
        <f t="shared" si="27"/>
        <v>0</v>
      </c>
      <c r="X295">
        <f t="shared" si="28"/>
        <v>0</v>
      </c>
      <c r="Y295">
        <f t="shared" si="29"/>
        <v>0</v>
      </c>
    </row>
    <row r="296" spans="16:25">
      <c r="P296">
        <f t="shared" si="24"/>
        <v>0</v>
      </c>
      <c r="Q296">
        <f>IF(F296="","",IFERROR(INDEX(场景库!$B:$B,MATCH(F296,场景库!$A:$A,0)),1))</f>
        <v>0</v>
      </c>
      <c r="R296">
        <f>IF(G296="","",IFERROR(INDEX(场景库!$E:$E,MATCH(G296,场景库!$D:$D,0)),1))</f>
        <v>0</v>
      </c>
      <c r="S296">
        <f t="shared" si="25"/>
        <v>0</v>
      </c>
      <c r="T296">
        <f t="shared" si="26"/>
        <v>0</v>
      </c>
      <c r="U296">
        <f t="shared" si="27"/>
        <v>0</v>
      </c>
      <c r="X296">
        <f t="shared" si="28"/>
        <v>0</v>
      </c>
      <c r="Y296">
        <f t="shared" si="29"/>
        <v>0</v>
      </c>
    </row>
    <row r="297" spans="16:25">
      <c r="P297">
        <f t="shared" si="24"/>
        <v>0</v>
      </c>
      <c r="Q297">
        <f>IF(F297="","",IFERROR(INDEX(场景库!$B:$B,MATCH(F297,场景库!$A:$A,0)),1))</f>
        <v>0</v>
      </c>
      <c r="R297">
        <f>IF(G297="","",IFERROR(INDEX(场景库!$E:$E,MATCH(G297,场景库!$D:$D,0)),1))</f>
        <v>0</v>
      </c>
      <c r="S297">
        <f t="shared" si="25"/>
        <v>0</v>
      </c>
      <c r="T297">
        <f t="shared" si="26"/>
        <v>0</v>
      </c>
      <c r="U297">
        <f t="shared" si="27"/>
        <v>0</v>
      </c>
      <c r="X297">
        <f t="shared" si="28"/>
        <v>0</v>
      </c>
      <c r="Y297">
        <f t="shared" si="29"/>
        <v>0</v>
      </c>
    </row>
    <row r="298" spans="16:25">
      <c r="P298">
        <f t="shared" si="24"/>
        <v>0</v>
      </c>
      <c r="Q298">
        <f>IF(F298="","",IFERROR(INDEX(场景库!$B:$B,MATCH(F298,场景库!$A:$A,0)),1))</f>
        <v>0</v>
      </c>
      <c r="R298">
        <f>IF(G298="","",IFERROR(INDEX(场景库!$E:$E,MATCH(G298,场景库!$D:$D,0)),1))</f>
        <v>0</v>
      </c>
      <c r="S298">
        <f t="shared" si="25"/>
        <v>0</v>
      </c>
      <c r="T298">
        <f t="shared" si="26"/>
        <v>0</v>
      </c>
      <c r="U298">
        <f t="shared" si="27"/>
        <v>0</v>
      </c>
      <c r="X298">
        <f t="shared" si="28"/>
        <v>0</v>
      </c>
      <c r="Y298">
        <f t="shared" si="29"/>
        <v>0</v>
      </c>
    </row>
    <row r="299" spans="16:25">
      <c r="P299">
        <f t="shared" si="24"/>
        <v>0</v>
      </c>
      <c r="Q299">
        <f>IF(F299="","",IFERROR(INDEX(场景库!$B:$B,MATCH(F299,场景库!$A:$A,0)),1))</f>
        <v>0</v>
      </c>
      <c r="R299">
        <f>IF(G299="","",IFERROR(INDEX(场景库!$E:$E,MATCH(G299,场景库!$D:$D,0)),1))</f>
        <v>0</v>
      </c>
      <c r="S299">
        <f t="shared" si="25"/>
        <v>0</v>
      </c>
      <c r="T299">
        <f t="shared" si="26"/>
        <v>0</v>
      </c>
      <c r="U299">
        <f t="shared" si="27"/>
        <v>0</v>
      </c>
      <c r="X299">
        <f t="shared" si="28"/>
        <v>0</v>
      </c>
      <c r="Y299">
        <f t="shared" si="29"/>
        <v>0</v>
      </c>
    </row>
    <row r="300" spans="16:25">
      <c r="P300">
        <f t="shared" si="24"/>
        <v>0</v>
      </c>
      <c r="Q300">
        <f>IF(F300="","",IFERROR(INDEX(场景库!$B:$B,MATCH(F300,场景库!$A:$A,0)),1))</f>
        <v>0</v>
      </c>
      <c r="R300">
        <f>IF(G300="","",IFERROR(INDEX(场景库!$E:$E,MATCH(G300,场景库!$D:$D,0)),1))</f>
        <v>0</v>
      </c>
      <c r="S300">
        <f t="shared" si="25"/>
        <v>0</v>
      </c>
      <c r="T300">
        <f t="shared" si="26"/>
        <v>0</v>
      </c>
      <c r="U300">
        <f t="shared" si="27"/>
        <v>0</v>
      </c>
      <c r="X300">
        <f t="shared" si="28"/>
        <v>0</v>
      </c>
      <c r="Y300">
        <f t="shared" si="29"/>
        <v>0</v>
      </c>
    </row>
    <row r="301" spans="16:25">
      <c r="P301">
        <f t="shared" si="24"/>
        <v>0</v>
      </c>
      <c r="Q301">
        <f>IF(F301="","",IFERROR(INDEX(场景库!$B:$B,MATCH(F301,场景库!$A:$A,0)),1))</f>
        <v>0</v>
      </c>
      <c r="R301">
        <f>IF(G301="","",IFERROR(INDEX(场景库!$E:$E,MATCH(G301,场景库!$D:$D,0)),1))</f>
        <v>0</v>
      </c>
      <c r="S301">
        <f t="shared" si="25"/>
        <v>0</v>
      </c>
      <c r="T301">
        <f t="shared" si="26"/>
        <v>0</v>
      </c>
      <c r="U301">
        <f t="shared" si="27"/>
        <v>0</v>
      </c>
      <c r="X301">
        <f t="shared" si="28"/>
        <v>0</v>
      </c>
      <c r="Y301">
        <f t="shared" si="29"/>
        <v>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67"/>
  <sheetViews>
    <sheetView workbookViewId="0">
      <selection activeCell="A1" sqref="A1"/>
    </sheetView>
  </sheetViews>
  <sheetFormatPr defaultColWidth="10.3846153846154" defaultRowHeight="16.8"/>
  <cols>
    <col min="1" max="1" width="24" customWidth="1"/>
    <col min="2" max="2" width="16" customWidth="1"/>
    <col min="3" max="4" width="18" customWidth="1"/>
    <col min="5" max="6" width="14" customWidth="1"/>
    <col min="8" max="8" width="20" customWidth="1"/>
    <col min="9" max="9" width="18" customWidth="1"/>
    <col min="10" max="10" width="14" customWidth="1"/>
    <col min="11" max="12" width="18" customWidth="1"/>
    <col min="13" max="14" width="14" customWidth="1"/>
  </cols>
  <sheetData>
    <row r="1" spans="1:1">
      <c r="A1" t="s">
        <v>203</v>
      </c>
    </row>
    <row r="2" spans="1:1">
      <c r="A2" t="s">
        <v>204</v>
      </c>
    </row>
    <row r="4" spans="1:1">
      <c r="A4" t="s">
        <v>205</v>
      </c>
    </row>
    <row r="5" spans="1:2">
      <c r="A5" t="s">
        <v>206</v>
      </c>
      <c r="B5" t="s">
        <v>207</v>
      </c>
    </row>
    <row r="6" spans="1:2">
      <c r="A6" t="s">
        <v>208</v>
      </c>
      <c r="B6">
        <f>COUNTIFS(评分明细!$X:$X,"&lt;&gt;")</f>
        <v>0</v>
      </c>
    </row>
    <row r="7" spans="1:2">
      <c r="A7" t="s">
        <v>209</v>
      </c>
      <c r="B7">
        <f>IF(B6=0,"",ROUND(AVERAGEIFS(评分明细!$X:$X,评分明细!$X:$X,"&lt;&gt;"),1))</f>
        <v>0</v>
      </c>
    </row>
    <row r="8" spans="1:2">
      <c r="A8" t="s">
        <v>210</v>
      </c>
      <c r="B8">
        <f>IF(B7="","",ROUND(100-B7,1))</f>
        <v>0</v>
      </c>
    </row>
    <row r="9" spans="1:2">
      <c r="A9" t="s">
        <v>211</v>
      </c>
      <c r="B9">
        <f>COUNTIFS(评分明细!$X:$X,"&gt;=60")</f>
        <v>0</v>
      </c>
    </row>
    <row r="10" spans="1:2">
      <c r="A10" t="s">
        <v>212</v>
      </c>
      <c r="B10">
        <f>COUNTIFS(评分明细!$X:$X,"&gt;=80")</f>
        <v>0</v>
      </c>
    </row>
    <row r="12" spans="1:8">
      <c r="A12" t="s">
        <v>213</v>
      </c>
      <c r="H12" t="s">
        <v>214</v>
      </c>
    </row>
    <row r="13" spans="1:14">
      <c r="A13" t="s">
        <v>215</v>
      </c>
      <c r="B13" t="s">
        <v>216</v>
      </c>
      <c r="C13" t="s">
        <v>217</v>
      </c>
      <c r="D13" t="s">
        <v>218</v>
      </c>
      <c r="E13" t="s">
        <v>219</v>
      </c>
      <c r="F13" t="s">
        <v>220</v>
      </c>
      <c r="H13" t="s">
        <v>221</v>
      </c>
      <c r="I13" t="s">
        <v>222</v>
      </c>
      <c r="J13" t="s">
        <v>216</v>
      </c>
      <c r="K13" t="s">
        <v>217</v>
      </c>
      <c r="L13" t="s">
        <v>218</v>
      </c>
      <c r="M13" t="s">
        <v>219</v>
      </c>
      <c r="N13" t="s">
        <v>220</v>
      </c>
    </row>
    <row r="14" spans="1:14">
      <c r="A14" t="s">
        <v>178</v>
      </c>
      <c r="B14">
        <f>IF(A14="","",COUNTIFS(评分明细!$C:$C,A14,评分明细!$X:$X,"&lt;&gt;"))</f>
        <v>0</v>
      </c>
      <c r="C14">
        <f>IF(B14=0,"",ROUND(AVERAGEIFS(评分明细!$X:$X,评分明细!$C:$C,A14,评分明细!$X:$X,"&lt;&gt;"),1))</f>
        <v>0</v>
      </c>
      <c r="D14">
        <f t="shared" ref="D14:D43" si="0">IF(C14="","",ROUND(100-C14,1))</f>
        <v>0</v>
      </c>
      <c r="E14">
        <f>IF(B14=0,"",COUNTIFS(评分明细!$C:$C,A14,评分明细!$X:$X,"&gt;=60"))</f>
        <v>0</v>
      </c>
      <c r="F14">
        <f>IF(B14=0,"",COUNTIFS(评分明细!$C:$C,A14,评分明细!$X:$X,"&gt;=80"))</f>
        <v>0</v>
      </c>
      <c r="H14" t="s">
        <v>179</v>
      </c>
      <c r="I14" t="s">
        <v>178</v>
      </c>
      <c r="J14">
        <f>IF(H14="","",IF(I14="",COUNTIFS(评分明细!$D:$D,H14,评分明细!$X:$X,"&lt;&gt;"),COUNTIFS(评分明细!$D:$D,H14,评分明细!$C:$C,I14,评分明细!$X:$X,"&lt;&gt;")))</f>
        <v>0</v>
      </c>
      <c r="K14">
        <f>IF(J14=0,"",IF(I14="",ROUND(AVERAGEIFS(评分明细!$X:$X,评分明细!$D:$D,H14,评分明细!$X:$X,"&lt;&gt;"),1),ROUND(AVERAGEIFS(评分明细!$X:$X,评分明细!$D:$D,H14,评分明细!$C:$C,I14,评分明细!$X:$X,"&lt;&gt;"),1)))</f>
        <v>0</v>
      </c>
      <c r="L14">
        <f t="shared" ref="L14:L63" si="1">IF(K14="","",ROUND(100-K14,1))</f>
        <v>0</v>
      </c>
      <c r="M14">
        <f>IF(J14=0,"",IF(I14="",COUNTIFS(评分明细!$D:$D,H14,评分明细!$X:$X,"&gt;=60"),COUNTIFS(评分明细!$D:$D,H14,评分明细!$C:$C,I14,评分明细!$X:$X,"&gt;=60")))</f>
        <v>0</v>
      </c>
      <c r="N14">
        <f>IF(J14=0,"",IF(I14="",COUNTIFS(评分明细!$D:$D,H14,评分明细!$X:$X,"&gt;=80"),COUNTIFS(评分明细!$D:$D,H14,评分明细!$C:$C,I14,评分明细!$X:$X,"&gt;=80")))</f>
        <v>0</v>
      </c>
    </row>
    <row r="15" spans="1:14">
      <c r="A15" t="s">
        <v>189</v>
      </c>
      <c r="B15">
        <f>IF(A15="","",COUNTIFS(评分明细!$C:$C,A15,评分明细!$X:$X,"&lt;&gt;"))</f>
        <v>0</v>
      </c>
      <c r="C15">
        <f>IF(B15=0,"",ROUND(AVERAGEIFS(评分明细!$X:$X,评分明细!$C:$C,A15,评分明细!$X:$X,"&lt;&gt;"),1))</f>
        <v>0</v>
      </c>
      <c r="D15">
        <f t="shared" si="0"/>
        <v>0</v>
      </c>
      <c r="E15">
        <f>IF(B15=0,"",COUNTIFS(评分明细!$C:$C,A15,评分明细!$X:$X,"&gt;=60"))</f>
        <v>0</v>
      </c>
      <c r="F15">
        <f>IF(B15=0,"",COUNTIFS(评分明细!$C:$C,A15,评分明细!$X:$X,"&gt;=80"))</f>
        <v>0</v>
      </c>
      <c r="H15" t="s">
        <v>184</v>
      </c>
      <c r="I15" t="s">
        <v>178</v>
      </c>
      <c r="J15">
        <f>IF(H15="","",IF(I15="",COUNTIFS(评分明细!$D:$D,H15,评分明细!$X:$X,"&lt;&gt;"),COUNTIFS(评分明细!$D:$D,H15,评分明细!$C:$C,I15,评分明细!$X:$X,"&lt;&gt;")))</f>
        <v>0</v>
      </c>
      <c r="K15">
        <f>IF(J15=0,"",IF(I15="",ROUND(AVERAGEIFS(评分明细!$X:$X,评分明细!$D:$D,H15,评分明细!$X:$X,"&lt;&gt;"),1),ROUND(AVERAGEIFS(评分明细!$X:$X,评分明细!$D:$D,H15,评分明细!$C:$C,I15,评分明细!$X:$X,"&lt;&gt;"),1)))</f>
        <v>0</v>
      </c>
      <c r="L15">
        <f t="shared" si="1"/>
        <v>0</v>
      </c>
      <c r="M15">
        <f>IF(J15=0,"",IF(I15="",COUNTIFS(评分明细!$D:$D,H15,评分明细!$X:$X,"&gt;=60"),COUNTIFS(评分明细!$D:$D,H15,评分明细!$C:$C,I15,评分明细!$X:$X,"&gt;=60")))</f>
        <v>0</v>
      </c>
      <c r="N15">
        <f>IF(J15=0,"",IF(I15="",COUNTIFS(评分明细!$D:$D,H15,评分明细!$X:$X,"&gt;=80"),COUNTIFS(评分明细!$D:$D,H15,评分明细!$C:$C,I15,评分明细!$X:$X,"&gt;=80")))</f>
        <v>0</v>
      </c>
    </row>
    <row r="16" spans="1:14">
      <c r="A16" t="s">
        <v>194</v>
      </c>
      <c r="B16">
        <f>IF(A16="","",COUNTIFS(评分明细!$C:$C,A16,评分明细!$X:$X,"&lt;&gt;"))</f>
        <v>0</v>
      </c>
      <c r="C16">
        <f>IF(B16=0,"",ROUND(AVERAGEIFS(评分明细!$X:$X,评分明细!$C:$C,A16,评分明细!$X:$X,"&lt;&gt;"),1))</f>
        <v>0</v>
      </c>
      <c r="D16">
        <f t="shared" si="0"/>
        <v>0</v>
      </c>
      <c r="E16">
        <f>IF(B16=0,"",COUNTIFS(评分明细!$C:$C,A16,评分明细!$X:$X,"&gt;=60"))</f>
        <v>0</v>
      </c>
      <c r="F16">
        <f>IF(B16=0,"",COUNTIFS(评分明细!$C:$C,A16,评分明细!$X:$X,"&gt;=80"))</f>
        <v>0</v>
      </c>
      <c r="H16" t="s">
        <v>190</v>
      </c>
      <c r="I16" t="s">
        <v>189</v>
      </c>
      <c r="J16">
        <f>IF(H16="","",IF(I16="",COUNTIFS(评分明细!$D:$D,H16,评分明细!$X:$X,"&lt;&gt;"),COUNTIFS(评分明细!$D:$D,H16,评分明细!$C:$C,I16,评分明细!$X:$X,"&lt;&gt;")))</f>
        <v>0</v>
      </c>
      <c r="K16">
        <f>IF(J16=0,"",IF(I16="",ROUND(AVERAGEIFS(评分明细!$X:$X,评分明细!$D:$D,H16,评分明细!$X:$X,"&lt;&gt;"),1),ROUND(AVERAGEIFS(评分明细!$X:$X,评分明细!$D:$D,H16,评分明细!$C:$C,I16,评分明细!$X:$X,"&lt;&gt;"),1)))</f>
        <v>0</v>
      </c>
      <c r="L16">
        <f t="shared" si="1"/>
        <v>0</v>
      </c>
      <c r="M16">
        <f>IF(J16=0,"",IF(I16="",COUNTIFS(评分明细!$D:$D,H16,评分明细!$X:$X,"&gt;=60"),COUNTIFS(评分明细!$D:$D,H16,评分明细!$C:$C,I16,评分明细!$X:$X,"&gt;=60")))</f>
        <v>0</v>
      </c>
      <c r="N16">
        <f>IF(J16=0,"",IF(I16="",COUNTIFS(评分明细!$D:$D,H16,评分明细!$X:$X,"&gt;=80"),COUNTIFS(评分明细!$D:$D,H16,评分明细!$C:$C,I16,评分明细!$X:$X,"&gt;=80")))</f>
        <v>0</v>
      </c>
    </row>
    <row r="17" spans="1:14">
      <c r="A17" t="s">
        <v>199</v>
      </c>
      <c r="B17">
        <f>IF(A17="","",COUNTIFS(评分明细!$C:$C,A17,评分明细!$X:$X,"&lt;&gt;"))</f>
        <v>0</v>
      </c>
      <c r="C17">
        <f>IF(B17=0,"",ROUND(AVERAGEIFS(评分明细!$X:$X,评分明细!$C:$C,A17,评分明细!$X:$X,"&lt;&gt;"),1))</f>
        <v>0</v>
      </c>
      <c r="D17">
        <f t="shared" si="0"/>
        <v>0</v>
      </c>
      <c r="E17">
        <f>IF(B17=0,"",COUNTIFS(评分明细!$C:$C,A17,评分明细!$X:$X,"&gt;=60"))</f>
        <v>0</v>
      </c>
      <c r="F17">
        <f>IF(B17=0,"",COUNTIFS(评分明细!$C:$C,A17,评分明细!$X:$X,"&gt;=80"))</f>
        <v>0</v>
      </c>
      <c r="H17" t="s">
        <v>195</v>
      </c>
      <c r="I17" t="s">
        <v>194</v>
      </c>
      <c r="J17">
        <f>IF(H17="","",IF(I17="",COUNTIFS(评分明细!$D:$D,H17,评分明细!$X:$X,"&lt;&gt;"),COUNTIFS(评分明细!$D:$D,H17,评分明细!$C:$C,I17,评分明细!$X:$X,"&lt;&gt;")))</f>
        <v>0</v>
      </c>
      <c r="K17">
        <f>IF(J17=0,"",IF(I17="",ROUND(AVERAGEIFS(评分明细!$X:$X,评分明细!$D:$D,H17,评分明细!$X:$X,"&lt;&gt;"),1),ROUND(AVERAGEIFS(评分明细!$X:$X,评分明细!$D:$D,H17,评分明细!$C:$C,I17,评分明细!$X:$X,"&lt;&gt;"),1)))</f>
        <v>0</v>
      </c>
      <c r="L17">
        <f t="shared" si="1"/>
        <v>0</v>
      </c>
      <c r="M17">
        <f>IF(J17=0,"",IF(I17="",COUNTIFS(评分明细!$D:$D,H17,评分明细!$X:$X,"&gt;=60"),COUNTIFS(评分明细!$D:$D,H17,评分明细!$C:$C,I17,评分明细!$X:$X,"&gt;=60")))</f>
        <v>0</v>
      </c>
      <c r="N17">
        <f>IF(J17=0,"",IF(I17="",COUNTIFS(评分明细!$D:$D,H17,评分明细!$X:$X,"&gt;=80"),COUNTIFS(评分明细!$D:$D,H17,评分明细!$C:$C,I17,评分明细!$X:$X,"&gt;=80")))</f>
        <v>0</v>
      </c>
    </row>
    <row r="18" spans="2:14">
      <c r="B18">
        <f>IF(A18="","",COUNTIFS(评分明细!$C:$C,A18,评分明细!$X:$X,"&lt;&gt;"))</f>
        <v>0</v>
      </c>
      <c r="C18">
        <f>IF(B18=0,"",ROUND(AVERAGEIFS(评分明细!$X:$X,评分明细!$C:$C,A18,评分明细!$X:$X,"&lt;&gt;"),1))</f>
        <v>0</v>
      </c>
      <c r="D18">
        <f t="shared" si="0"/>
        <v>0</v>
      </c>
      <c r="E18">
        <f>IF(B18=0,"",COUNTIFS(评分明细!$C:$C,A18,评分明细!$X:$X,"&gt;=60"))</f>
        <v>0</v>
      </c>
      <c r="F18">
        <f>IF(B18=0,"",COUNTIFS(评分明细!$C:$C,A18,评分明细!$X:$X,"&gt;=80"))</f>
        <v>0</v>
      </c>
      <c r="H18" t="s">
        <v>200</v>
      </c>
      <c r="I18" t="s">
        <v>199</v>
      </c>
      <c r="J18">
        <f>IF(H18="","",IF(I18="",COUNTIFS(评分明细!$D:$D,H18,评分明细!$X:$X,"&lt;&gt;"),COUNTIFS(评分明细!$D:$D,H18,评分明细!$C:$C,I18,评分明细!$X:$X,"&lt;&gt;")))</f>
        <v>0</v>
      </c>
      <c r="K18">
        <f>IF(J18=0,"",IF(I18="",ROUND(AVERAGEIFS(评分明细!$X:$X,评分明细!$D:$D,H18,评分明细!$X:$X,"&lt;&gt;"),1),ROUND(AVERAGEIFS(评分明细!$X:$X,评分明细!$D:$D,H18,评分明细!$C:$C,I18,评分明细!$X:$X,"&lt;&gt;"),1)))</f>
        <v>0</v>
      </c>
      <c r="L18">
        <f t="shared" si="1"/>
        <v>0</v>
      </c>
      <c r="M18">
        <f>IF(J18=0,"",IF(I18="",COUNTIFS(评分明细!$D:$D,H18,评分明细!$X:$X,"&gt;=60"),COUNTIFS(评分明细!$D:$D,H18,评分明细!$C:$C,I18,评分明细!$X:$X,"&gt;=60")))</f>
        <v>0</v>
      </c>
      <c r="N18">
        <f>IF(J18=0,"",IF(I18="",COUNTIFS(评分明细!$D:$D,H18,评分明细!$X:$X,"&gt;=80"),COUNTIFS(评分明细!$D:$D,H18,评分明细!$C:$C,I18,评分明细!$X:$X,"&gt;=80")))</f>
        <v>0</v>
      </c>
    </row>
    <row r="19" spans="2:14">
      <c r="B19">
        <f>IF(A19="","",COUNTIFS(评分明细!$C:$C,A19,评分明细!$X:$X,"&lt;&gt;"))</f>
        <v>0</v>
      </c>
      <c r="C19">
        <f>IF(B19=0,"",ROUND(AVERAGEIFS(评分明细!$X:$X,评分明细!$C:$C,A19,评分明细!$X:$X,"&lt;&gt;"),1))</f>
        <v>0</v>
      </c>
      <c r="D19">
        <f t="shared" si="0"/>
        <v>0</v>
      </c>
      <c r="E19">
        <f>IF(B19=0,"",COUNTIFS(评分明细!$C:$C,A19,评分明细!$X:$X,"&gt;=60"))</f>
        <v>0</v>
      </c>
      <c r="F19">
        <f>IF(B19=0,"",COUNTIFS(评分明细!$C:$C,A19,评分明细!$X:$X,"&gt;=80"))</f>
        <v>0</v>
      </c>
      <c r="J19">
        <f>IF(H19="","",IF(I19="",COUNTIFS(评分明细!$D:$D,H19,评分明细!$X:$X,"&lt;&gt;"),COUNTIFS(评分明细!$D:$D,H19,评分明细!$C:$C,I19,评分明细!$X:$X,"&lt;&gt;")))</f>
        <v>0</v>
      </c>
      <c r="K19">
        <f>IF(J19=0,"",IF(I19="",ROUND(AVERAGEIFS(评分明细!$X:$X,评分明细!$D:$D,H19,评分明细!$X:$X,"&lt;&gt;"),1),ROUND(AVERAGEIFS(评分明细!$X:$X,评分明细!$D:$D,H19,评分明细!$C:$C,I19,评分明细!$X:$X,"&lt;&gt;"),1)))</f>
        <v>0</v>
      </c>
      <c r="L19">
        <f t="shared" si="1"/>
        <v>0</v>
      </c>
      <c r="M19">
        <f>IF(J19=0,"",IF(I19="",COUNTIFS(评分明细!$D:$D,H19,评分明细!$X:$X,"&gt;=60"),COUNTIFS(评分明细!$D:$D,H19,评分明细!$C:$C,I19,评分明细!$X:$X,"&gt;=60")))</f>
        <v>0</v>
      </c>
      <c r="N19">
        <f>IF(J19=0,"",IF(I19="",COUNTIFS(评分明细!$D:$D,H19,评分明细!$X:$X,"&gt;=80"),COUNTIFS(评分明细!$D:$D,H19,评分明细!$C:$C,I19,评分明细!$X:$X,"&gt;=80")))</f>
        <v>0</v>
      </c>
    </row>
    <row r="20" spans="2:14">
      <c r="B20">
        <f>IF(A20="","",COUNTIFS(评分明细!$C:$C,A20,评分明细!$X:$X,"&lt;&gt;"))</f>
        <v>0</v>
      </c>
      <c r="C20">
        <f>IF(B20=0,"",ROUND(AVERAGEIFS(评分明细!$X:$X,评分明细!$C:$C,A20,评分明细!$X:$X,"&lt;&gt;"),1))</f>
        <v>0</v>
      </c>
      <c r="D20">
        <f t="shared" si="0"/>
        <v>0</v>
      </c>
      <c r="E20">
        <f>IF(B20=0,"",COUNTIFS(评分明细!$C:$C,A20,评分明细!$X:$X,"&gt;=60"))</f>
        <v>0</v>
      </c>
      <c r="F20">
        <f>IF(B20=0,"",COUNTIFS(评分明细!$C:$C,A20,评分明细!$X:$X,"&gt;=80"))</f>
        <v>0</v>
      </c>
      <c r="J20">
        <f>IF(H20="","",IF(I20="",COUNTIFS(评分明细!$D:$D,H20,评分明细!$X:$X,"&lt;&gt;"),COUNTIFS(评分明细!$D:$D,H20,评分明细!$C:$C,I20,评分明细!$X:$X,"&lt;&gt;")))</f>
        <v>0</v>
      </c>
      <c r="K20">
        <f>IF(J20=0,"",IF(I20="",ROUND(AVERAGEIFS(评分明细!$X:$X,评分明细!$D:$D,H20,评分明细!$X:$X,"&lt;&gt;"),1),ROUND(AVERAGEIFS(评分明细!$X:$X,评分明细!$D:$D,H20,评分明细!$C:$C,I20,评分明细!$X:$X,"&lt;&gt;"),1)))</f>
        <v>0</v>
      </c>
      <c r="L20">
        <f t="shared" si="1"/>
        <v>0</v>
      </c>
      <c r="M20">
        <f>IF(J20=0,"",IF(I20="",COUNTIFS(评分明细!$D:$D,H20,评分明细!$X:$X,"&gt;=60"),COUNTIFS(评分明细!$D:$D,H20,评分明细!$C:$C,I20,评分明细!$X:$X,"&gt;=60")))</f>
        <v>0</v>
      </c>
      <c r="N20">
        <f>IF(J20=0,"",IF(I20="",COUNTIFS(评分明细!$D:$D,H20,评分明细!$X:$X,"&gt;=80"),COUNTIFS(评分明细!$D:$D,H20,评分明细!$C:$C,I20,评分明细!$X:$X,"&gt;=80")))</f>
        <v>0</v>
      </c>
    </row>
    <row r="21" spans="2:14">
      <c r="B21">
        <f>IF(A21="","",COUNTIFS(评分明细!$C:$C,A21,评分明细!$X:$X,"&lt;&gt;"))</f>
        <v>0</v>
      </c>
      <c r="C21">
        <f>IF(B21=0,"",ROUND(AVERAGEIFS(评分明细!$X:$X,评分明细!$C:$C,A21,评分明细!$X:$X,"&lt;&gt;"),1))</f>
        <v>0</v>
      </c>
      <c r="D21">
        <f t="shared" si="0"/>
        <v>0</v>
      </c>
      <c r="E21">
        <f>IF(B21=0,"",COUNTIFS(评分明细!$C:$C,A21,评分明细!$X:$X,"&gt;=60"))</f>
        <v>0</v>
      </c>
      <c r="F21">
        <f>IF(B21=0,"",COUNTIFS(评分明细!$C:$C,A21,评分明细!$X:$X,"&gt;=80"))</f>
        <v>0</v>
      </c>
      <c r="J21">
        <f>IF(H21="","",IF(I21="",COUNTIFS(评分明细!$D:$D,H21,评分明细!$X:$X,"&lt;&gt;"),COUNTIFS(评分明细!$D:$D,H21,评分明细!$C:$C,I21,评分明细!$X:$X,"&lt;&gt;")))</f>
        <v>0</v>
      </c>
      <c r="K21">
        <f>IF(J21=0,"",IF(I21="",ROUND(AVERAGEIFS(评分明细!$X:$X,评分明细!$D:$D,H21,评分明细!$X:$X,"&lt;&gt;"),1),ROUND(AVERAGEIFS(评分明细!$X:$X,评分明细!$D:$D,H21,评分明细!$C:$C,I21,评分明细!$X:$X,"&lt;&gt;"),1)))</f>
        <v>0</v>
      </c>
      <c r="L21">
        <f t="shared" si="1"/>
        <v>0</v>
      </c>
      <c r="M21">
        <f>IF(J21=0,"",IF(I21="",COUNTIFS(评分明细!$D:$D,H21,评分明细!$X:$X,"&gt;=60"),COUNTIFS(评分明细!$D:$D,H21,评分明细!$C:$C,I21,评分明细!$X:$X,"&gt;=60")))</f>
        <v>0</v>
      </c>
      <c r="N21">
        <f>IF(J21=0,"",IF(I21="",COUNTIFS(评分明细!$D:$D,H21,评分明细!$X:$X,"&gt;=80"),COUNTIFS(评分明细!$D:$D,H21,评分明细!$C:$C,I21,评分明细!$X:$X,"&gt;=80")))</f>
        <v>0</v>
      </c>
    </row>
    <row r="22" spans="2:14">
      <c r="B22">
        <f>IF(A22="","",COUNTIFS(评分明细!$C:$C,A22,评分明细!$X:$X,"&lt;&gt;"))</f>
        <v>0</v>
      </c>
      <c r="C22">
        <f>IF(B22=0,"",ROUND(AVERAGEIFS(评分明细!$X:$X,评分明细!$C:$C,A22,评分明细!$X:$X,"&lt;&gt;"),1))</f>
        <v>0</v>
      </c>
      <c r="D22">
        <f t="shared" si="0"/>
        <v>0</v>
      </c>
      <c r="E22">
        <f>IF(B22=0,"",COUNTIFS(评分明细!$C:$C,A22,评分明细!$X:$X,"&gt;=60"))</f>
        <v>0</v>
      </c>
      <c r="F22">
        <f>IF(B22=0,"",COUNTIFS(评分明细!$C:$C,A22,评分明细!$X:$X,"&gt;=80"))</f>
        <v>0</v>
      </c>
      <c r="J22">
        <f>IF(H22="","",IF(I22="",COUNTIFS(评分明细!$D:$D,H22,评分明细!$X:$X,"&lt;&gt;"),COUNTIFS(评分明细!$D:$D,H22,评分明细!$C:$C,I22,评分明细!$X:$X,"&lt;&gt;")))</f>
        <v>0</v>
      </c>
      <c r="K22">
        <f>IF(J22=0,"",IF(I22="",ROUND(AVERAGEIFS(评分明细!$X:$X,评分明细!$D:$D,H22,评分明细!$X:$X,"&lt;&gt;"),1),ROUND(AVERAGEIFS(评分明细!$X:$X,评分明细!$D:$D,H22,评分明细!$C:$C,I22,评分明细!$X:$X,"&lt;&gt;"),1)))</f>
        <v>0</v>
      </c>
      <c r="L22">
        <f t="shared" si="1"/>
        <v>0</v>
      </c>
      <c r="M22">
        <f>IF(J22=0,"",IF(I22="",COUNTIFS(评分明细!$D:$D,H22,评分明细!$X:$X,"&gt;=60"),COUNTIFS(评分明细!$D:$D,H22,评分明细!$C:$C,I22,评分明细!$X:$X,"&gt;=60")))</f>
        <v>0</v>
      </c>
      <c r="N22">
        <f>IF(J22=0,"",IF(I22="",COUNTIFS(评分明细!$D:$D,H22,评分明细!$X:$X,"&gt;=80"),COUNTIFS(评分明细!$D:$D,H22,评分明细!$C:$C,I22,评分明细!$X:$X,"&gt;=80")))</f>
        <v>0</v>
      </c>
    </row>
    <row r="23" spans="2:14">
      <c r="B23">
        <f>IF(A23="","",COUNTIFS(评分明细!$C:$C,A23,评分明细!$X:$X,"&lt;&gt;"))</f>
        <v>0</v>
      </c>
      <c r="C23">
        <f>IF(B23=0,"",ROUND(AVERAGEIFS(评分明细!$X:$X,评分明细!$C:$C,A23,评分明细!$X:$X,"&lt;&gt;"),1))</f>
        <v>0</v>
      </c>
      <c r="D23">
        <f t="shared" si="0"/>
        <v>0</v>
      </c>
      <c r="E23">
        <f>IF(B23=0,"",COUNTIFS(评分明细!$C:$C,A23,评分明细!$X:$X,"&gt;=60"))</f>
        <v>0</v>
      </c>
      <c r="F23">
        <f>IF(B23=0,"",COUNTIFS(评分明细!$C:$C,A23,评分明细!$X:$X,"&gt;=80"))</f>
        <v>0</v>
      </c>
      <c r="J23">
        <f>IF(H23="","",IF(I23="",COUNTIFS(评分明细!$D:$D,H23,评分明细!$X:$X,"&lt;&gt;"),COUNTIFS(评分明细!$D:$D,H23,评分明细!$C:$C,I23,评分明细!$X:$X,"&lt;&gt;")))</f>
        <v>0</v>
      </c>
      <c r="K23">
        <f>IF(J23=0,"",IF(I23="",ROUND(AVERAGEIFS(评分明细!$X:$X,评分明细!$D:$D,H23,评分明细!$X:$X,"&lt;&gt;"),1),ROUND(AVERAGEIFS(评分明细!$X:$X,评分明细!$D:$D,H23,评分明细!$C:$C,I23,评分明细!$X:$X,"&lt;&gt;"),1)))</f>
        <v>0</v>
      </c>
      <c r="L23">
        <f t="shared" si="1"/>
        <v>0</v>
      </c>
      <c r="M23">
        <f>IF(J23=0,"",IF(I23="",COUNTIFS(评分明细!$D:$D,H23,评分明细!$X:$X,"&gt;=60"),COUNTIFS(评分明细!$D:$D,H23,评分明细!$C:$C,I23,评分明细!$X:$X,"&gt;=60")))</f>
        <v>0</v>
      </c>
      <c r="N23">
        <f>IF(J23=0,"",IF(I23="",COUNTIFS(评分明细!$D:$D,H23,评分明细!$X:$X,"&gt;=80"),COUNTIFS(评分明细!$D:$D,H23,评分明细!$C:$C,I23,评分明细!$X:$X,"&gt;=80")))</f>
        <v>0</v>
      </c>
    </row>
    <row r="24" spans="2:14">
      <c r="B24">
        <f>IF(A24="","",COUNTIFS(评分明细!$C:$C,A24,评分明细!$X:$X,"&lt;&gt;"))</f>
        <v>0</v>
      </c>
      <c r="C24">
        <f>IF(B24=0,"",ROUND(AVERAGEIFS(评分明细!$X:$X,评分明细!$C:$C,A24,评分明细!$X:$X,"&lt;&gt;"),1))</f>
        <v>0</v>
      </c>
      <c r="D24">
        <f t="shared" si="0"/>
        <v>0</v>
      </c>
      <c r="E24">
        <f>IF(B24=0,"",COUNTIFS(评分明细!$C:$C,A24,评分明细!$X:$X,"&gt;=60"))</f>
        <v>0</v>
      </c>
      <c r="F24">
        <f>IF(B24=0,"",COUNTIFS(评分明细!$C:$C,A24,评分明细!$X:$X,"&gt;=80"))</f>
        <v>0</v>
      </c>
      <c r="J24">
        <f>IF(H24="","",IF(I24="",COUNTIFS(评分明细!$D:$D,H24,评分明细!$X:$X,"&lt;&gt;"),COUNTIFS(评分明细!$D:$D,H24,评分明细!$C:$C,I24,评分明细!$X:$X,"&lt;&gt;")))</f>
        <v>0</v>
      </c>
      <c r="K24">
        <f>IF(J24=0,"",IF(I24="",ROUND(AVERAGEIFS(评分明细!$X:$X,评分明细!$D:$D,H24,评分明细!$X:$X,"&lt;&gt;"),1),ROUND(AVERAGEIFS(评分明细!$X:$X,评分明细!$D:$D,H24,评分明细!$C:$C,I24,评分明细!$X:$X,"&lt;&gt;"),1)))</f>
        <v>0</v>
      </c>
      <c r="L24">
        <f t="shared" si="1"/>
        <v>0</v>
      </c>
      <c r="M24">
        <f>IF(J24=0,"",IF(I24="",COUNTIFS(评分明细!$D:$D,H24,评分明细!$X:$X,"&gt;=60"),COUNTIFS(评分明细!$D:$D,H24,评分明细!$C:$C,I24,评分明细!$X:$X,"&gt;=60")))</f>
        <v>0</v>
      </c>
      <c r="N24">
        <f>IF(J24=0,"",IF(I24="",COUNTIFS(评分明细!$D:$D,H24,评分明细!$X:$X,"&gt;=80"),COUNTIFS(评分明细!$D:$D,H24,评分明细!$C:$C,I24,评分明细!$X:$X,"&gt;=80")))</f>
        <v>0</v>
      </c>
    </row>
    <row r="25" spans="2:14">
      <c r="B25">
        <f>IF(A25="","",COUNTIFS(评分明细!$C:$C,A25,评分明细!$X:$X,"&lt;&gt;"))</f>
        <v>0</v>
      </c>
      <c r="C25">
        <f>IF(B25=0,"",ROUND(AVERAGEIFS(评分明细!$X:$X,评分明细!$C:$C,A25,评分明细!$X:$X,"&lt;&gt;"),1))</f>
        <v>0</v>
      </c>
      <c r="D25">
        <f t="shared" si="0"/>
        <v>0</v>
      </c>
      <c r="E25">
        <f>IF(B25=0,"",COUNTIFS(评分明细!$C:$C,A25,评分明细!$X:$X,"&gt;=60"))</f>
        <v>0</v>
      </c>
      <c r="F25">
        <f>IF(B25=0,"",COUNTIFS(评分明细!$C:$C,A25,评分明细!$X:$X,"&gt;=80"))</f>
        <v>0</v>
      </c>
      <c r="J25">
        <f>IF(H25="","",IF(I25="",COUNTIFS(评分明细!$D:$D,H25,评分明细!$X:$X,"&lt;&gt;"),COUNTIFS(评分明细!$D:$D,H25,评分明细!$C:$C,I25,评分明细!$X:$X,"&lt;&gt;")))</f>
        <v>0</v>
      </c>
      <c r="K25">
        <f>IF(J25=0,"",IF(I25="",ROUND(AVERAGEIFS(评分明细!$X:$X,评分明细!$D:$D,H25,评分明细!$X:$X,"&lt;&gt;"),1),ROUND(AVERAGEIFS(评分明细!$X:$X,评分明细!$D:$D,H25,评分明细!$C:$C,I25,评分明细!$X:$X,"&lt;&gt;"),1)))</f>
        <v>0</v>
      </c>
      <c r="L25">
        <f t="shared" si="1"/>
        <v>0</v>
      </c>
      <c r="M25">
        <f>IF(J25=0,"",IF(I25="",COUNTIFS(评分明细!$D:$D,H25,评分明细!$X:$X,"&gt;=60"),COUNTIFS(评分明细!$D:$D,H25,评分明细!$C:$C,I25,评分明细!$X:$X,"&gt;=60")))</f>
        <v>0</v>
      </c>
      <c r="N25">
        <f>IF(J25=0,"",IF(I25="",COUNTIFS(评分明细!$D:$D,H25,评分明细!$X:$X,"&gt;=80"),COUNTIFS(评分明细!$D:$D,H25,评分明细!$C:$C,I25,评分明细!$X:$X,"&gt;=80")))</f>
        <v>0</v>
      </c>
    </row>
    <row r="26" spans="2:14">
      <c r="B26">
        <f>IF(A26="","",COUNTIFS(评分明细!$C:$C,A26,评分明细!$X:$X,"&lt;&gt;"))</f>
        <v>0</v>
      </c>
      <c r="C26">
        <f>IF(B26=0,"",ROUND(AVERAGEIFS(评分明细!$X:$X,评分明细!$C:$C,A26,评分明细!$X:$X,"&lt;&gt;"),1))</f>
        <v>0</v>
      </c>
      <c r="D26">
        <f t="shared" si="0"/>
        <v>0</v>
      </c>
      <c r="E26">
        <f>IF(B26=0,"",COUNTIFS(评分明细!$C:$C,A26,评分明细!$X:$X,"&gt;=60"))</f>
        <v>0</v>
      </c>
      <c r="F26">
        <f>IF(B26=0,"",COUNTIFS(评分明细!$C:$C,A26,评分明细!$X:$X,"&gt;=80"))</f>
        <v>0</v>
      </c>
      <c r="J26">
        <f>IF(H26="","",IF(I26="",COUNTIFS(评分明细!$D:$D,H26,评分明细!$X:$X,"&lt;&gt;"),COUNTIFS(评分明细!$D:$D,H26,评分明细!$C:$C,I26,评分明细!$X:$X,"&lt;&gt;")))</f>
        <v>0</v>
      </c>
      <c r="K26">
        <f>IF(J26=0,"",IF(I26="",ROUND(AVERAGEIFS(评分明细!$X:$X,评分明细!$D:$D,H26,评分明细!$X:$X,"&lt;&gt;"),1),ROUND(AVERAGEIFS(评分明细!$X:$X,评分明细!$D:$D,H26,评分明细!$C:$C,I26,评分明细!$X:$X,"&lt;&gt;"),1)))</f>
        <v>0</v>
      </c>
      <c r="L26">
        <f t="shared" si="1"/>
        <v>0</v>
      </c>
      <c r="M26">
        <f>IF(J26=0,"",IF(I26="",COUNTIFS(评分明细!$D:$D,H26,评分明细!$X:$X,"&gt;=60"),COUNTIFS(评分明细!$D:$D,H26,评分明细!$C:$C,I26,评分明细!$X:$X,"&gt;=60")))</f>
        <v>0</v>
      </c>
      <c r="N26">
        <f>IF(J26=0,"",IF(I26="",COUNTIFS(评分明细!$D:$D,H26,评分明细!$X:$X,"&gt;=80"),COUNTIFS(评分明细!$D:$D,H26,评分明细!$C:$C,I26,评分明细!$X:$X,"&gt;=80")))</f>
        <v>0</v>
      </c>
    </row>
    <row r="27" spans="2:14">
      <c r="B27">
        <f>IF(A27="","",COUNTIFS(评分明细!$C:$C,A27,评分明细!$X:$X,"&lt;&gt;"))</f>
        <v>0</v>
      </c>
      <c r="C27">
        <f>IF(B27=0,"",ROUND(AVERAGEIFS(评分明细!$X:$X,评分明细!$C:$C,A27,评分明细!$X:$X,"&lt;&gt;"),1))</f>
        <v>0</v>
      </c>
      <c r="D27">
        <f t="shared" si="0"/>
        <v>0</v>
      </c>
      <c r="E27">
        <f>IF(B27=0,"",COUNTIFS(评分明细!$C:$C,A27,评分明细!$X:$X,"&gt;=60"))</f>
        <v>0</v>
      </c>
      <c r="F27">
        <f>IF(B27=0,"",COUNTIFS(评分明细!$C:$C,A27,评分明细!$X:$X,"&gt;=80"))</f>
        <v>0</v>
      </c>
      <c r="J27">
        <f>IF(H27="","",IF(I27="",COUNTIFS(评分明细!$D:$D,H27,评分明细!$X:$X,"&lt;&gt;"),COUNTIFS(评分明细!$D:$D,H27,评分明细!$C:$C,I27,评分明细!$X:$X,"&lt;&gt;")))</f>
        <v>0</v>
      </c>
      <c r="K27">
        <f>IF(J27=0,"",IF(I27="",ROUND(AVERAGEIFS(评分明细!$X:$X,评分明细!$D:$D,H27,评分明细!$X:$X,"&lt;&gt;"),1),ROUND(AVERAGEIFS(评分明细!$X:$X,评分明细!$D:$D,H27,评分明细!$C:$C,I27,评分明细!$X:$X,"&lt;&gt;"),1)))</f>
        <v>0</v>
      </c>
      <c r="L27">
        <f t="shared" si="1"/>
        <v>0</v>
      </c>
      <c r="M27">
        <f>IF(J27=0,"",IF(I27="",COUNTIFS(评分明细!$D:$D,H27,评分明细!$X:$X,"&gt;=60"),COUNTIFS(评分明细!$D:$D,H27,评分明细!$C:$C,I27,评分明细!$X:$X,"&gt;=60")))</f>
        <v>0</v>
      </c>
      <c r="N27">
        <f>IF(J27=0,"",IF(I27="",COUNTIFS(评分明细!$D:$D,H27,评分明细!$X:$X,"&gt;=80"),COUNTIFS(评分明细!$D:$D,H27,评分明细!$C:$C,I27,评分明细!$X:$X,"&gt;=80")))</f>
        <v>0</v>
      </c>
    </row>
    <row r="28" spans="2:14">
      <c r="B28">
        <f>IF(A28="","",COUNTIFS(评分明细!$C:$C,A28,评分明细!$X:$X,"&lt;&gt;"))</f>
        <v>0</v>
      </c>
      <c r="C28">
        <f>IF(B28=0,"",ROUND(AVERAGEIFS(评分明细!$X:$X,评分明细!$C:$C,A28,评分明细!$X:$X,"&lt;&gt;"),1))</f>
        <v>0</v>
      </c>
      <c r="D28">
        <f t="shared" si="0"/>
        <v>0</v>
      </c>
      <c r="E28">
        <f>IF(B28=0,"",COUNTIFS(评分明细!$C:$C,A28,评分明细!$X:$X,"&gt;=60"))</f>
        <v>0</v>
      </c>
      <c r="F28">
        <f>IF(B28=0,"",COUNTIFS(评分明细!$C:$C,A28,评分明细!$X:$X,"&gt;=80"))</f>
        <v>0</v>
      </c>
      <c r="J28">
        <f>IF(H28="","",IF(I28="",COUNTIFS(评分明细!$D:$D,H28,评分明细!$X:$X,"&lt;&gt;"),COUNTIFS(评分明细!$D:$D,H28,评分明细!$C:$C,I28,评分明细!$X:$X,"&lt;&gt;")))</f>
        <v>0</v>
      </c>
      <c r="K28">
        <f>IF(J28=0,"",IF(I28="",ROUND(AVERAGEIFS(评分明细!$X:$X,评分明细!$D:$D,H28,评分明细!$X:$X,"&lt;&gt;"),1),ROUND(AVERAGEIFS(评分明细!$X:$X,评分明细!$D:$D,H28,评分明细!$C:$C,I28,评分明细!$X:$X,"&lt;&gt;"),1)))</f>
        <v>0</v>
      </c>
      <c r="L28">
        <f t="shared" si="1"/>
        <v>0</v>
      </c>
      <c r="M28">
        <f>IF(J28=0,"",IF(I28="",COUNTIFS(评分明细!$D:$D,H28,评分明细!$X:$X,"&gt;=60"),COUNTIFS(评分明细!$D:$D,H28,评分明细!$C:$C,I28,评分明细!$X:$X,"&gt;=60")))</f>
        <v>0</v>
      </c>
      <c r="N28">
        <f>IF(J28=0,"",IF(I28="",COUNTIFS(评分明细!$D:$D,H28,评分明细!$X:$X,"&gt;=80"),COUNTIFS(评分明细!$D:$D,H28,评分明细!$C:$C,I28,评分明细!$X:$X,"&gt;=80")))</f>
        <v>0</v>
      </c>
    </row>
    <row r="29" spans="2:14">
      <c r="B29">
        <f>IF(A29="","",COUNTIFS(评分明细!$C:$C,A29,评分明细!$X:$X,"&lt;&gt;"))</f>
        <v>0</v>
      </c>
      <c r="C29">
        <f>IF(B29=0,"",ROUND(AVERAGEIFS(评分明细!$X:$X,评分明细!$C:$C,A29,评分明细!$X:$X,"&lt;&gt;"),1))</f>
        <v>0</v>
      </c>
      <c r="D29">
        <f t="shared" si="0"/>
        <v>0</v>
      </c>
      <c r="E29">
        <f>IF(B29=0,"",COUNTIFS(评分明细!$C:$C,A29,评分明细!$X:$X,"&gt;=60"))</f>
        <v>0</v>
      </c>
      <c r="F29">
        <f>IF(B29=0,"",COUNTIFS(评分明细!$C:$C,A29,评分明细!$X:$X,"&gt;=80"))</f>
        <v>0</v>
      </c>
      <c r="J29">
        <f>IF(H29="","",IF(I29="",COUNTIFS(评分明细!$D:$D,H29,评分明细!$X:$X,"&lt;&gt;"),COUNTIFS(评分明细!$D:$D,H29,评分明细!$C:$C,I29,评分明细!$X:$X,"&lt;&gt;")))</f>
        <v>0</v>
      </c>
      <c r="K29">
        <f>IF(J29=0,"",IF(I29="",ROUND(AVERAGEIFS(评分明细!$X:$X,评分明细!$D:$D,H29,评分明细!$X:$X,"&lt;&gt;"),1),ROUND(AVERAGEIFS(评分明细!$X:$X,评分明细!$D:$D,H29,评分明细!$C:$C,I29,评分明细!$X:$X,"&lt;&gt;"),1)))</f>
        <v>0</v>
      </c>
      <c r="L29">
        <f t="shared" si="1"/>
        <v>0</v>
      </c>
      <c r="M29">
        <f>IF(J29=0,"",IF(I29="",COUNTIFS(评分明细!$D:$D,H29,评分明细!$X:$X,"&gt;=60"),COUNTIFS(评分明细!$D:$D,H29,评分明细!$C:$C,I29,评分明细!$X:$X,"&gt;=60")))</f>
        <v>0</v>
      </c>
      <c r="N29">
        <f>IF(J29=0,"",IF(I29="",COUNTIFS(评分明细!$D:$D,H29,评分明细!$X:$X,"&gt;=80"),COUNTIFS(评分明细!$D:$D,H29,评分明细!$C:$C,I29,评分明细!$X:$X,"&gt;=80")))</f>
        <v>0</v>
      </c>
    </row>
    <row r="30" spans="2:14">
      <c r="B30">
        <f>IF(A30="","",COUNTIFS(评分明细!$C:$C,A30,评分明细!$X:$X,"&lt;&gt;"))</f>
        <v>0</v>
      </c>
      <c r="C30">
        <f>IF(B30=0,"",ROUND(AVERAGEIFS(评分明细!$X:$X,评分明细!$C:$C,A30,评分明细!$X:$X,"&lt;&gt;"),1))</f>
        <v>0</v>
      </c>
      <c r="D30">
        <f t="shared" si="0"/>
        <v>0</v>
      </c>
      <c r="E30">
        <f>IF(B30=0,"",COUNTIFS(评分明细!$C:$C,A30,评分明细!$X:$X,"&gt;=60"))</f>
        <v>0</v>
      </c>
      <c r="F30">
        <f>IF(B30=0,"",COUNTIFS(评分明细!$C:$C,A30,评分明细!$X:$X,"&gt;=80"))</f>
        <v>0</v>
      </c>
      <c r="J30">
        <f>IF(H30="","",IF(I30="",COUNTIFS(评分明细!$D:$D,H30,评分明细!$X:$X,"&lt;&gt;"),COUNTIFS(评分明细!$D:$D,H30,评分明细!$C:$C,I30,评分明细!$X:$X,"&lt;&gt;")))</f>
        <v>0</v>
      </c>
      <c r="K30">
        <f>IF(J30=0,"",IF(I30="",ROUND(AVERAGEIFS(评分明细!$X:$X,评分明细!$D:$D,H30,评分明细!$X:$X,"&lt;&gt;"),1),ROUND(AVERAGEIFS(评分明细!$X:$X,评分明细!$D:$D,H30,评分明细!$C:$C,I30,评分明细!$X:$X,"&lt;&gt;"),1)))</f>
        <v>0</v>
      </c>
      <c r="L30">
        <f t="shared" si="1"/>
        <v>0</v>
      </c>
      <c r="M30">
        <f>IF(J30=0,"",IF(I30="",COUNTIFS(评分明细!$D:$D,H30,评分明细!$X:$X,"&gt;=60"),COUNTIFS(评分明细!$D:$D,H30,评分明细!$C:$C,I30,评分明细!$X:$X,"&gt;=60")))</f>
        <v>0</v>
      </c>
      <c r="N30">
        <f>IF(J30=0,"",IF(I30="",COUNTIFS(评分明细!$D:$D,H30,评分明细!$X:$X,"&gt;=80"),COUNTIFS(评分明细!$D:$D,H30,评分明细!$C:$C,I30,评分明细!$X:$X,"&gt;=80")))</f>
        <v>0</v>
      </c>
    </row>
    <row r="31" spans="2:14">
      <c r="B31">
        <f>IF(A31="","",COUNTIFS(评分明细!$C:$C,A31,评分明细!$X:$X,"&lt;&gt;"))</f>
        <v>0</v>
      </c>
      <c r="C31">
        <f>IF(B31=0,"",ROUND(AVERAGEIFS(评分明细!$X:$X,评分明细!$C:$C,A31,评分明细!$X:$X,"&lt;&gt;"),1))</f>
        <v>0</v>
      </c>
      <c r="D31">
        <f t="shared" si="0"/>
        <v>0</v>
      </c>
      <c r="E31">
        <f>IF(B31=0,"",COUNTIFS(评分明细!$C:$C,A31,评分明细!$X:$X,"&gt;=60"))</f>
        <v>0</v>
      </c>
      <c r="F31">
        <f>IF(B31=0,"",COUNTIFS(评分明细!$C:$C,A31,评分明细!$X:$X,"&gt;=80"))</f>
        <v>0</v>
      </c>
      <c r="J31">
        <f>IF(H31="","",IF(I31="",COUNTIFS(评分明细!$D:$D,H31,评分明细!$X:$X,"&lt;&gt;"),COUNTIFS(评分明细!$D:$D,H31,评分明细!$C:$C,I31,评分明细!$X:$X,"&lt;&gt;")))</f>
        <v>0</v>
      </c>
      <c r="K31">
        <f>IF(J31=0,"",IF(I31="",ROUND(AVERAGEIFS(评分明细!$X:$X,评分明细!$D:$D,H31,评分明细!$X:$X,"&lt;&gt;"),1),ROUND(AVERAGEIFS(评分明细!$X:$X,评分明细!$D:$D,H31,评分明细!$C:$C,I31,评分明细!$X:$X,"&lt;&gt;"),1)))</f>
        <v>0</v>
      </c>
      <c r="L31">
        <f t="shared" si="1"/>
        <v>0</v>
      </c>
      <c r="M31">
        <f>IF(J31=0,"",IF(I31="",COUNTIFS(评分明细!$D:$D,H31,评分明细!$X:$X,"&gt;=60"),COUNTIFS(评分明细!$D:$D,H31,评分明细!$C:$C,I31,评分明细!$X:$X,"&gt;=60")))</f>
        <v>0</v>
      </c>
      <c r="N31">
        <f>IF(J31=0,"",IF(I31="",COUNTIFS(评分明细!$D:$D,H31,评分明细!$X:$X,"&gt;=80"),COUNTIFS(评分明细!$D:$D,H31,评分明细!$C:$C,I31,评分明细!$X:$X,"&gt;=80")))</f>
        <v>0</v>
      </c>
    </row>
    <row r="32" spans="2:14">
      <c r="B32">
        <f>IF(A32="","",COUNTIFS(评分明细!$C:$C,A32,评分明细!$X:$X,"&lt;&gt;"))</f>
        <v>0</v>
      </c>
      <c r="C32">
        <f>IF(B32=0,"",ROUND(AVERAGEIFS(评分明细!$X:$X,评分明细!$C:$C,A32,评分明细!$X:$X,"&lt;&gt;"),1))</f>
        <v>0</v>
      </c>
      <c r="D32">
        <f t="shared" si="0"/>
        <v>0</v>
      </c>
      <c r="E32">
        <f>IF(B32=0,"",COUNTIFS(评分明细!$C:$C,A32,评分明细!$X:$X,"&gt;=60"))</f>
        <v>0</v>
      </c>
      <c r="F32">
        <f>IF(B32=0,"",COUNTIFS(评分明细!$C:$C,A32,评分明细!$X:$X,"&gt;=80"))</f>
        <v>0</v>
      </c>
      <c r="J32">
        <f>IF(H32="","",IF(I32="",COUNTIFS(评分明细!$D:$D,H32,评分明细!$X:$X,"&lt;&gt;"),COUNTIFS(评分明细!$D:$D,H32,评分明细!$C:$C,I32,评分明细!$X:$X,"&lt;&gt;")))</f>
        <v>0</v>
      </c>
      <c r="K32">
        <f>IF(J32=0,"",IF(I32="",ROUND(AVERAGEIFS(评分明细!$X:$X,评分明细!$D:$D,H32,评分明细!$X:$X,"&lt;&gt;"),1),ROUND(AVERAGEIFS(评分明细!$X:$X,评分明细!$D:$D,H32,评分明细!$C:$C,I32,评分明细!$X:$X,"&lt;&gt;"),1)))</f>
        <v>0</v>
      </c>
      <c r="L32">
        <f t="shared" si="1"/>
        <v>0</v>
      </c>
      <c r="M32">
        <f>IF(J32=0,"",IF(I32="",COUNTIFS(评分明细!$D:$D,H32,评分明细!$X:$X,"&gt;=60"),COUNTIFS(评分明细!$D:$D,H32,评分明细!$C:$C,I32,评分明细!$X:$X,"&gt;=60")))</f>
        <v>0</v>
      </c>
      <c r="N32">
        <f>IF(J32=0,"",IF(I32="",COUNTIFS(评分明细!$D:$D,H32,评分明细!$X:$X,"&gt;=80"),COUNTIFS(评分明细!$D:$D,H32,评分明细!$C:$C,I32,评分明细!$X:$X,"&gt;=80")))</f>
        <v>0</v>
      </c>
    </row>
    <row r="33" spans="2:14">
      <c r="B33">
        <f>IF(A33="","",COUNTIFS(评分明细!$C:$C,A33,评分明细!$X:$X,"&lt;&gt;"))</f>
        <v>0</v>
      </c>
      <c r="C33">
        <f>IF(B33=0,"",ROUND(AVERAGEIFS(评分明细!$X:$X,评分明细!$C:$C,A33,评分明细!$X:$X,"&lt;&gt;"),1))</f>
        <v>0</v>
      </c>
      <c r="D33">
        <f t="shared" si="0"/>
        <v>0</v>
      </c>
      <c r="E33">
        <f>IF(B33=0,"",COUNTIFS(评分明细!$C:$C,A33,评分明细!$X:$X,"&gt;=60"))</f>
        <v>0</v>
      </c>
      <c r="F33">
        <f>IF(B33=0,"",COUNTIFS(评分明细!$C:$C,A33,评分明细!$X:$X,"&gt;=80"))</f>
        <v>0</v>
      </c>
      <c r="J33">
        <f>IF(H33="","",IF(I33="",COUNTIFS(评分明细!$D:$D,H33,评分明细!$X:$X,"&lt;&gt;"),COUNTIFS(评分明细!$D:$D,H33,评分明细!$C:$C,I33,评分明细!$X:$X,"&lt;&gt;")))</f>
        <v>0</v>
      </c>
      <c r="K33">
        <f>IF(J33=0,"",IF(I33="",ROUND(AVERAGEIFS(评分明细!$X:$X,评分明细!$D:$D,H33,评分明细!$X:$X,"&lt;&gt;"),1),ROUND(AVERAGEIFS(评分明细!$X:$X,评分明细!$D:$D,H33,评分明细!$C:$C,I33,评分明细!$X:$X,"&lt;&gt;"),1)))</f>
        <v>0</v>
      </c>
      <c r="L33">
        <f t="shared" si="1"/>
        <v>0</v>
      </c>
      <c r="M33">
        <f>IF(J33=0,"",IF(I33="",COUNTIFS(评分明细!$D:$D,H33,评分明细!$X:$X,"&gt;=60"),COUNTIFS(评分明细!$D:$D,H33,评分明细!$C:$C,I33,评分明细!$X:$X,"&gt;=60")))</f>
        <v>0</v>
      </c>
      <c r="N33">
        <f>IF(J33=0,"",IF(I33="",COUNTIFS(评分明细!$D:$D,H33,评分明细!$X:$X,"&gt;=80"),COUNTIFS(评分明细!$D:$D,H33,评分明细!$C:$C,I33,评分明细!$X:$X,"&gt;=80")))</f>
        <v>0</v>
      </c>
    </row>
    <row r="34" spans="2:14">
      <c r="B34">
        <f>IF(A34="","",COUNTIFS(评分明细!$C:$C,A34,评分明细!$X:$X,"&lt;&gt;"))</f>
        <v>0</v>
      </c>
      <c r="C34">
        <f>IF(B34=0,"",ROUND(AVERAGEIFS(评分明细!$X:$X,评分明细!$C:$C,A34,评分明细!$X:$X,"&lt;&gt;"),1))</f>
        <v>0</v>
      </c>
      <c r="D34">
        <f t="shared" si="0"/>
        <v>0</v>
      </c>
      <c r="E34">
        <f>IF(B34=0,"",COUNTIFS(评分明细!$C:$C,A34,评分明细!$X:$X,"&gt;=60"))</f>
        <v>0</v>
      </c>
      <c r="F34">
        <f>IF(B34=0,"",COUNTIFS(评分明细!$C:$C,A34,评分明细!$X:$X,"&gt;=80"))</f>
        <v>0</v>
      </c>
      <c r="J34">
        <f>IF(H34="","",IF(I34="",COUNTIFS(评分明细!$D:$D,H34,评分明细!$X:$X,"&lt;&gt;"),COUNTIFS(评分明细!$D:$D,H34,评分明细!$C:$C,I34,评分明细!$X:$X,"&lt;&gt;")))</f>
        <v>0</v>
      </c>
      <c r="K34">
        <f>IF(J34=0,"",IF(I34="",ROUND(AVERAGEIFS(评分明细!$X:$X,评分明细!$D:$D,H34,评分明细!$X:$X,"&lt;&gt;"),1),ROUND(AVERAGEIFS(评分明细!$X:$X,评分明细!$D:$D,H34,评分明细!$C:$C,I34,评分明细!$X:$X,"&lt;&gt;"),1)))</f>
        <v>0</v>
      </c>
      <c r="L34">
        <f t="shared" si="1"/>
        <v>0</v>
      </c>
      <c r="M34">
        <f>IF(J34=0,"",IF(I34="",COUNTIFS(评分明细!$D:$D,H34,评分明细!$X:$X,"&gt;=60"),COUNTIFS(评分明细!$D:$D,H34,评分明细!$C:$C,I34,评分明细!$X:$X,"&gt;=60")))</f>
        <v>0</v>
      </c>
      <c r="N34">
        <f>IF(J34=0,"",IF(I34="",COUNTIFS(评分明细!$D:$D,H34,评分明细!$X:$X,"&gt;=80"),COUNTIFS(评分明细!$D:$D,H34,评分明细!$C:$C,I34,评分明细!$X:$X,"&gt;=80")))</f>
        <v>0</v>
      </c>
    </row>
    <row r="35" spans="2:14">
      <c r="B35">
        <f>IF(A35="","",COUNTIFS(评分明细!$C:$C,A35,评分明细!$X:$X,"&lt;&gt;"))</f>
        <v>0</v>
      </c>
      <c r="C35">
        <f>IF(B35=0,"",ROUND(AVERAGEIFS(评分明细!$X:$X,评分明细!$C:$C,A35,评分明细!$X:$X,"&lt;&gt;"),1))</f>
        <v>0</v>
      </c>
      <c r="D35">
        <f t="shared" si="0"/>
        <v>0</v>
      </c>
      <c r="E35">
        <f>IF(B35=0,"",COUNTIFS(评分明细!$C:$C,A35,评分明细!$X:$X,"&gt;=60"))</f>
        <v>0</v>
      </c>
      <c r="F35">
        <f>IF(B35=0,"",COUNTIFS(评分明细!$C:$C,A35,评分明细!$X:$X,"&gt;=80"))</f>
        <v>0</v>
      </c>
      <c r="J35">
        <f>IF(H35="","",IF(I35="",COUNTIFS(评分明细!$D:$D,H35,评分明细!$X:$X,"&lt;&gt;"),COUNTIFS(评分明细!$D:$D,H35,评分明细!$C:$C,I35,评分明细!$X:$X,"&lt;&gt;")))</f>
        <v>0</v>
      </c>
      <c r="K35">
        <f>IF(J35=0,"",IF(I35="",ROUND(AVERAGEIFS(评分明细!$X:$X,评分明细!$D:$D,H35,评分明细!$X:$X,"&lt;&gt;"),1),ROUND(AVERAGEIFS(评分明细!$X:$X,评分明细!$D:$D,H35,评分明细!$C:$C,I35,评分明细!$X:$X,"&lt;&gt;"),1)))</f>
        <v>0</v>
      </c>
      <c r="L35">
        <f t="shared" si="1"/>
        <v>0</v>
      </c>
      <c r="M35">
        <f>IF(J35=0,"",IF(I35="",COUNTIFS(评分明细!$D:$D,H35,评分明细!$X:$X,"&gt;=60"),COUNTIFS(评分明细!$D:$D,H35,评分明细!$C:$C,I35,评分明细!$X:$X,"&gt;=60")))</f>
        <v>0</v>
      </c>
      <c r="N35">
        <f>IF(J35=0,"",IF(I35="",COUNTIFS(评分明细!$D:$D,H35,评分明细!$X:$X,"&gt;=80"),COUNTIFS(评分明细!$D:$D,H35,评分明细!$C:$C,I35,评分明细!$X:$X,"&gt;=80")))</f>
        <v>0</v>
      </c>
    </row>
    <row r="36" spans="2:14">
      <c r="B36">
        <f>IF(A36="","",COUNTIFS(评分明细!$C:$C,A36,评分明细!$X:$X,"&lt;&gt;"))</f>
        <v>0</v>
      </c>
      <c r="C36">
        <f>IF(B36=0,"",ROUND(AVERAGEIFS(评分明细!$X:$X,评分明细!$C:$C,A36,评分明细!$X:$X,"&lt;&gt;"),1))</f>
        <v>0</v>
      </c>
      <c r="D36">
        <f t="shared" si="0"/>
        <v>0</v>
      </c>
      <c r="E36">
        <f>IF(B36=0,"",COUNTIFS(评分明细!$C:$C,A36,评分明细!$X:$X,"&gt;=60"))</f>
        <v>0</v>
      </c>
      <c r="F36">
        <f>IF(B36=0,"",COUNTIFS(评分明细!$C:$C,A36,评分明细!$X:$X,"&gt;=80"))</f>
        <v>0</v>
      </c>
      <c r="J36">
        <f>IF(H36="","",IF(I36="",COUNTIFS(评分明细!$D:$D,H36,评分明细!$X:$X,"&lt;&gt;"),COUNTIFS(评分明细!$D:$D,H36,评分明细!$C:$C,I36,评分明细!$X:$X,"&lt;&gt;")))</f>
        <v>0</v>
      </c>
      <c r="K36">
        <f>IF(J36=0,"",IF(I36="",ROUND(AVERAGEIFS(评分明细!$X:$X,评分明细!$D:$D,H36,评分明细!$X:$X,"&lt;&gt;"),1),ROUND(AVERAGEIFS(评分明细!$X:$X,评分明细!$D:$D,H36,评分明细!$C:$C,I36,评分明细!$X:$X,"&lt;&gt;"),1)))</f>
        <v>0</v>
      </c>
      <c r="L36">
        <f t="shared" si="1"/>
        <v>0</v>
      </c>
      <c r="M36">
        <f>IF(J36=0,"",IF(I36="",COUNTIFS(评分明细!$D:$D,H36,评分明细!$X:$X,"&gt;=60"),COUNTIFS(评分明细!$D:$D,H36,评分明细!$C:$C,I36,评分明细!$X:$X,"&gt;=60")))</f>
        <v>0</v>
      </c>
      <c r="N36">
        <f>IF(J36=0,"",IF(I36="",COUNTIFS(评分明细!$D:$D,H36,评分明细!$X:$X,"&gt;=80"),COUNTIFS(评分明细!$D:$D,H36,评分明细!$C:$C,I36,评分明细!$X:$X,"&gt;=80")))</f>
        <v>0</v>
      </c>
    </row>
    <row r="37" spans="2:14">
      <c r="B37">
        <f>IF(A37="","",COUNTIFS(评分明细!$C:$C,A37,评分明细!$X:$X,"&lt;&gt;"))</f>
        <v>0</v>
      </c>
      <c r="C37">
        <f>IF(B37=0,"",ROUND(AVERAGEIFS(评分明细!$X:$X,评分明细!$C:$C,A37,评分明细!$X:$X,"&lt;&gt;"),1))</f>
        <v>0</v>
      </c>
      <c r="D37">
        <f t="shared" si="0"/>
        <v>0</v>
      </c>
      <c r="E37">
        <f>IF(B37=0,"",COUNTIFS(评分明细!$C:$C,A37,评分明细!$X:$X,"&gt;=60"))</f>
        <v>0</v>
      </c>
      <c r="F37">
        <f>IF(B37=0,"",COUNTIFS(评分明细!$C:$C,A37,评分明细!$X:$X,"&gt;=80"))</f>
        <v>0</v>
      </c>
      <c r="J37">
        <f>IF(H37="","",IF(I37="",COUNTIFS(评分明细!$D:$D,H37,评分明细!$X:$X,"&lt;&gt;"),COUNTIFS(评分明细!$D:$D,H37,评分明细!$C:$C,I37,评分明细!$X:$X,"&lt;&gt;")))</f>
        <v>0</v>
      </c>
      <c r="K37">
        <f>IF(J37=0,"",IF(I37="",ROUND(AVERAGEIFS(评分明细!$X:$X,评分明细!$D:$D,H37,评分明细!$X:$X,"&lt;&gt;"),1),ROUND(AVERAGEIFS(评分明细!$X:$X,评分明细!$D:$D,H37,评分明细!$C:$C,I37,评分明细!$X:$X,"&lt;&gt;"),1)))</f>
        <v>0</v>
      </c>
      <c r="L37">
        <f t="shared" si="1"/>
        <v>0</v>
      </c>
      <c r="M37">
        <f>IF(J37=0,"",IF(I37="",COUNTIFS(评分明细!$D:$D,H37,评分明细!$X:$X,"&gt;=60"),COUNTIFS(评分明细!$D:$D,H37,评分明细!$C:$C,I37,评分明细!$X:$X,"&gt;=60")))</f>
        <v>0</v>
      </c>
      <c r="N37">
        <f>IF(J37=0,"",IF(I37="",COUNTIFS(评分明细!$D:$D,H37,评分明细!$X:$X,"&gt;=80"),COUNTIFS(评分明细!$D:$D,H37,评分明细!$C:$C,I37,评分明细!$X:$X,"&gt;=80")))</f>
        <v>0</v>
      </c>
    </row>
    <row r="38" spans="2:14">
      <c r="B38">
        <f>IF(A38="","",COUNTIFS(评分明细!$C:$C,A38,评分明细!$X:$X,"&lt;&gt;"))</f>
        <v>0</v>
      </c>
      <c r="C38">
        <f>IF(B38=0,"",ROUND(AVERAGEIFS(评分明细!$X:$X,评分明细!$C:$C,A38,评分明细!$X:$X,"&lt;&gt;"),1))</f>
        <v>0</v>
      </c>
      <c r="D38">
        <f t="shared" si="0"/>
        <v>0</v>
      </c>
      <c r="E38">
        <f>IF(B38=0,"",COUNTIFS(评分明细!$C:$C,A38,评分明细!$X:$X,"&gt;=60"))</f>
        <v>0</v>
      </c>
      <c r="F38">
        <f>IF(B38=0,"",COUNTIFS(评分明细!$C:$C,A38,评分明细!$X:$X,"&gt;=80"))</f>
        <v>0</v>
      </c>
      <c r="J38">
        <f>IF(H38="","",IF(I38="",COUNTIFS(评分明细!$D:$D,H38,评分明细!$X:$X,"&lt;&gt;"),COUNTIFS(评分明细!$D:$D,H38,评分明细!$C:$C,I38,评分明细!$X:$X,"&lt;&gt;")))</f>
        <v>0</v>
      </c>
      <c r="K38">
        <f>IF(J38=0,"",IF(I38="",ROUND(AVERAGEIFS(评分明细!$X:$X,评分明细!$D:$D,H38,评分明细!$X:$X,"&lt;&gt;"),1),ROUND(AVERAGEIFS(评分明细!$X:$X,评分明细!$D:$D,H38,评分明细!$C:$C,I38,评分明细!$X:$X,"&lt;&gt;"),1)))</f>
        <v>0</v>
      </c>
      <c r="L38">
        <f t="shared" si="1"/>
        <v>0</v>
      </c>
      <c r="M38">
        <f>IF(J38=0,"",IF(I38="",COUNTIFS(评分明细!$D:$D,H38,评分明细!$X:$X,"&gt;=60"),COUNTIFS(评分明细!$D:$D,H38,评分明细!$C:$C,I38,评分明细!$X:$X,"&gt;=60")))</f>
        <v>0</v>
      </c>
      <c r="N38">
        <f>IF(J38=0,"",IF(I38="",COUNTIFS(评分明细!$D:$D,H38,评分明细!$X:$X,"&gt;=80"),COUNTIFS(评分明细!$D:$D,H38,评分明细!$C:$C,I38,评分明细!$X:$X,"&gt;=80")))</f>
        <v>0</v>
      </c>
    </row>
    <row r="39" spans="2:14">
      <c r="B39">
        <f>IF(A39="","",COUNTIFS(评分明细!$C:$C,A39,评分明细!$X:$X,"&lt;&gt;"))</f>
        <v>0</v>
      </c>
      <c r="C39">
        <f>IF(B39=0,"",ROUND(AVERAGEIFS(评分明细!$X:$X,评分明细!$C:$C,A39,评分明细!$X:$X,"&lt;&gt;"),1))</f>
        <v>0</v>
      </c>
      <c r="D39">
        <f t="shared" si="0"/>
        <v>0</v>
      </c>
      <c r="E39">
        <f>IF(B39=0,"",COUNTIFS(评分明细!$C:$C,A39,评分明细!$X:$X,"&gt;=60"))</f>
        <v>0</v>
      </c>
      <c r="F39">
        <f>IF(B39=0,"",COUNTIFS(评分明细!$C:$C,A39,评分明细!$X:$X,"&gt;=80"))</f>
        <v>0</v>
      </c>
      <c r="J39">
        <f>IF(H39="","",IF(I39="",COUNTIFS(评分明细!$D:$D,H39,评分明细!$X:$X,"&lt;&gt;"),COUNTIFS(评分明细!$D:$D,H39,评分明细!$C:$C,I39,评分明细!$X:$X,"&lt;&gt;")))</f>
        <v>0</v>
      </c>
      <c r="K39">
        <f>IF(J39=0,"",IF(I39="",ROUND(AVERAGEIFS(评分明细!$X:$X,评分明细!$D:$D,H39,评分明细!$X:$X,"&lt;&gt;"),1),ROUND(AVERAGEIFS(评分明细!$X:$X,评分明细!$D:$D,H39,评分明细!$C:$C,I39,评分明细!$X:$X,"&lt;&gt;"),1)))</f>
        <v>0</v>
      </c>
      <c r="L39">
        <f t="shared" si="1"/>
        <v>0</v>
      </c>
      <c r="M39">
        <f>IF(J39=0,"",IF(I39="",COUNTIFS(评分明细!$D:$D,H39,评分明细!$X:$X,"&gt;=60"),COUNTIFS(评分明细!$D:$D,H39,评分明细!$C:$C,I39,评分明细!$X:$X,"&gt;=60")))</f>
        <v>0</v>
      </c>
      <c r="N39">
        <f>IF(J39=0,"",IF(I39="",COUNTIFS(评分明细!$D:$D,H39,评分明细!$X:$X,"&gt;=80"),COUNTIFS(评分明细!$D:$D,H39,评分明细!$C:$C,I39,评分明细!$X:$X,"&gt;=80")))</f>
        <v>0</v>
      </c>
    </row>
    <row r="40" spans="2:14">
      <c r="B40">
        <f>IF(A40="","",COUNTIFS(评分明细!$C:$C,A40,评分明细!$X:$X,"&lt;&gt;"))</f>
        <v>0</v>
      </c>
      <c r="C40">
        <f>IF(B40=0,"",ROUND(AVERAGEIFS(评分明细!$X:$X,评分明细!$C:$C,A40,评分明细!$X:$X,"&lt;&gt;"),1))</f>
        <v>0</v>
      </c>
      <c r="D40">
        <f t="shared" si="0"/>
        <v>0</v>
      </c>
      <c r="E40">
        <f>IF(B40=0,"",COUNTIFS(评分明细!$C:$C,A40,评分明细!$X:$X,"&gt;=60"))</f>
        <v>0</v>
      </c>
      <c r="F40">
        <f>IF(B40=0,"",COUNTIFS(评分明细!$C:$C,A40,评分明细!$X:$X,"&gt;=80"))</f>
        <v>0</v>
      </c>
      <c r="J40">
        <f>IF(H40="","",IF(I40="",COUNTIFS(评分明细!$D:$D,H40,评分明细!$X:$X,"&lt;&gt;"),COUNTIFS(评分明细!$D:$D,H40,评分明细!$C:$C,I40,评分明细!$X:$X,"&lt;&gt;")))</f>
        <v>0</v>
      </c>
      <c r="K40">
        <f>IF(J40=0,"",IF(I40="",ROUND(AVERAGEIFS(评分明细!$X:$X,评分明细!$D:$D,H40,评分明细!$X:$X,"&lt;&gt;"),1),ROUND(AVERAGEIFS(评分明细!$X:$X,评分明细!$D:$D,H40,评分明细!$C:$C,I40,评分明细!$X:$X,"&lt;&gt;"),1)))</f>
        <v>0</v>
      </c>
      <c r="L40">
        <f t="shared" si="1"/>
        <v>0</v>
      </c>
      <c r="M40">
        <f>IF(J40=0,"",IF(I40="",COUNTIFS(评分明细!$D:$D,H40,评分明细!$X:$X,"&gt;=60"),COUNTIFS(评分明细!$D:$D,H40,评分明细!$C:$C,I40,评分明细!$X:$X,"&gt;=60")))</f>
        <v>0</v>
      </c>
      <c r="N40">
        <f>IF(J40=0,"",IF(I40="",COUNTIFS(评分明细!$D:$D,H40,评分明细!$X:$X,"&gt;=80"),COUNTIFS(评分明细!$D:$D,H40,评分明细!$C:$C,I40,评分明细!$X:$X,"&gt;=80")))</f>
        <v>0</v>
      </c>
    </row>
    <row r="41" spans="2:14">
      <c r="B41">
        <f>IF(A41="","",COUNTIFS(评分明细!$C:$C,A41,评分明细!$X:$X,"&lt;&gt;"))</f>
        <v>0</v>
      </c>
      <c r="C41">
        <f>IF(B41=0,"",ROUND(AVERAGEIFS(评分明细!$X:$X,评分明细!$C:$C,A41,评分明细!$X:$X,"&lt;&gt;"),1))</f>
        <v>0</v>
      </c>
      <c r="D41">
        <f t="shared" si="0"/>
        <v>0</v>
      </c>
      <c r="E41">
        <f>IF(B41=0,"",COUNTIFS(评分明细!$C:$C,A41,评分明细!$X:$X,"&gt;=60"))</f>
        <v>0</v>
      </c>
      <c r="F41">
        <f>IF(B41=0,"",COUNTIFS(评分明细!$C:$C,A41,评分明细!$X:$X,"&gt;=80"))</f>
        <v>0</v>
      </c>
      <c r="J41">
        <f>IF(H41="","",IF(I41="",COUNTIFS(评分明细!$D:$D,H41,评分明细!$X:$X,"&lt;&gt;"),COUNTIFS(评分明细!$D:$D,H41,评分明细!$C:$C,I41,评分明细!$X:$X,"&lt;&gt;")))</f>
        <v>0</v>
      </c>
      <c r="K41">
        <f>IF(J41=0,"",IF(I41="",ROUND(AVERAGEIFS(评分明细!$X:$X,评分明细!$D:$D,H41,评分明细!$X:$X,"&lt;&gt;"),1),ROUND(AVERAGEIFS(评分明细!$X:$X,评分明细!$D:$D,H41,评分明细!$C:$C,I41,评分明细!$X:$X,"&lt;&gt;"),1)))</f>
        <v>0</v>
      </c>
      <c r="L41">
        <f t="shared" si="1"/>
        <v>0</v>
      </c>
      <c r="M41">
        <f>IF(J41=0,"",IF(I41="",COUNTIFS(评分明细!$D:$D,H41,评分明细!$X:$X,"&gt;=60"),COUNTIFS(评分明细!$D:$D,H41,评分明细!$C:$C,I41,评分明细!$X:$X,"&gt;=60")))</f>
        <v>0</v>
      </c>
      <c r="N41">
        <f>IF(J41=0,"",IF(I41="",COUNTIFS(评分明细!$D:$D,H41,评分明细!$X:$X,"&gt;=80"),COUNTIFS(评分明细!$D:$D,H41,评分明细!$C:$C,I41,评分明细!$X:$X,"&gt;=80")))</f>
        <v>0</v>
      </c>
    </row>
    <row r="42" spans="2:14">
      <c r="B42">
        <f>IF(A42="","",COUNTIFS(评分明细!$C:$C,A42,评分明细!$X:$X,"&lt;&gt;"))</f>
        <v>0</v>
      </c>
      <c r="C42">
        <f>IF(B42=0,"",ROUND(AVERAGEIFS(评分明细!$X:$X,评分明细!$C:$C,A42,评分明细!$X:$X,"&lt;&gt;"),1))</f>
        <v>0</v>
      </c>
      <c r="D42">
        <f t="shared" si="0"/>
        <v>0</v>
      </c>
      <c r="E42">
        <f>IF(B42=0,"",COUNTIFS(评分明细!$C:$C,A42,评分明细!$X:$X,"&gt;=60"))</f>
        <v>0</v>
      </c>
      <c r="F42">
        <f>IF(B42=0,"",COUNTIFS(评分明细!$C:$C,A42,评分明细!$X:$X,"&gt;=80"))</f>
        <v>0</v>
      </c>
      <c r="J42">
        <f>IF(H42="","",IF(I42="",COUNTIFS(评分明细!$D:$D,H42,评分明细!$X:$X,"&lt;&gt;"),COUNTIFS(评分明细!$D:$D,H42,评分明细!$C:$C,I42,评分明细!$X:$X,"&lt;&gt;")))</f>
        <v>0</v>
      </c>
      <c r="K42">
        <f>IF(J42=0,"",IF(I42="",ROUND(AVERAGEIFS(评分明细!$X:$X,评分明细!$D:$D,H42,评分明细!$X:$X,"&lt;&gt;"),1),ROUND(AVERAGEIFS(评分明细!$X:$X,评分明细!$D:$D,H42,评分明细!$C:$C,I42,评分明细!$X:$X,"&lt;&gt;"),1)))</f>
        <v>0</v>
      </c>
      <c r="L42">
        <f t="shared" si="1"/>
        <v>0</v>
      </c>
      <c r="M42">
        <f>IF(J42=0,"",IF(I42="",COUNTIFS(评分明细!$D:$D,H42,评分明细!$X:$X,"&gt;=60"),COUNTIFS(评分明细!$D:$D,H42,评分明细!$C:$C,I42,评分明细!$X:$X,"&gt;=60")))</f>
        <v>0</v>
      </c>
      <c r="N42">
        <f>IF(J42=0,"",IF(I42="",COUNTIFS(评分明细!$D:$D,H42,评分明细!$X:$X,"&gt;=80"),COUNTIFS(评分明细!$D:$D,H42,评分明细!$C:$C,I42,评分明细!$X:$X,"&gt;=80")))</f>
        <v>0</v>
      </c>
    </row>
    <row r="43" spans="2:14">
      <c r="B43">
        <f>IF(A43="","",COUNTIFS(评分明细!$C:$C,A43,评分明细!$X:$X,"&lt;&gt;"))</f>
        <v>0</v>
      </c>
      <c r="C43">
        <f>IF(B43=0,"",ROUND(AVERAGEIFS(评分明细!$X:$X,评分明细!$C:$C,A43,评分明细!$X:$X,"&lt;&gt;"),1))</f>
        <v>0</v>
      </c>
      <c r="D43">
        <f t="shared" si="0"/>
        <v>0</v>
      </c>
      <c r="E43">
        <f>IF(B43=0,"",COUNTIFS(评分明细!$C:$C,A43,评分明细!$X:$X,"&gt;=60"))</f>
        <v>0</v>
      </c>
      <c r="F43">
        <f>IF(B43=0,"",COUNTIFS(评分明细!$C:$C,A43,评分明细!$X:$X,"&gt;=80"))</f>
        <v>0</v>
      </c>
      <c r="J43">
        <f>IF(H43="","",IF(I43="",COUNTIFS(评分明细!$D:$D,H43,评分明细!$X:$X,"&lt;&gt;"),COUNTIFS(评分明细!$D:$D,H43,评分明细!$C:$C,I43,评分明细!$X:$X,"&lt;&gt;")))</f>
        <v>0</v>
      </c>
      <c r="K43">
        <f>IF(J43=0,"",IF(I43="",ROUND(AVERAGEIFS(评分明细!$X:$X,评分明细!$D:$D,H43,评分明细!$X:$X,"&lt;&gt;"),1),ROUND(AVERAGEIFS(评分明细!$X:$X,评分明细!$D:$D,H43,评分明细!$C:$C,I43,评分明细!$X:$X,"&lt;&gt;"),1)))</f>
        <v>0</v>
      </c>
      <c r="L43">
        <f t="shared" si="1"/>
        <v>0</v>
      </c>
      <c r="M43">
        <f>IF(J43=0,"",IF(I43="",COUNTIFS(评分明细!$D:$D,H43,评分明细!$X:$X,"&gt;=60"),COUNTIFS(评分明细!$D:$D,H43,评分明细!$C:$C,I43,评分明细!$X:$X,"&gt;=60")))</f>
        <v>0</v>
      </c>
      <c r="N43">
        <f>IF(J43=0,"",IF(I43="",COUNTIFS(评分明细!$D:$D,H43,评分明细!$X:$X,"&gt;=80"),COUNTIFS(评分明细!$D:$D,H43,评分明细!$C:$C,I43,评分明细!$X:$X,"&gt;=80")))</f>
        <v>0</v>
      </c>
    </row>
    <row r="44" spans="10:14">
      <c r="J44">
        <f>IF(H44="","",IF(I44="",COUNTIFS(评分明细!$D:$D,H44,评分明细!$X:$X,"&lt;&gt;"),COUNTIFS(评分明细!$D:$D,H44,评分明细!$C:$C,I44,评分明细!$X:$X,"&lt;&gt;")))</f>
        <v>0</v>
      </c>
      <c r="K44">
        <f>IF(J44=0,"",IF(I44="",ROUND(AVERAGEIFS(评分明细!$X:$X,评分明细!$D:$D,H44,评分明细!$X:$X,"&lt;&gt;"),1),ROUND(AVERAGEIFS(评分明细!$X:$X,评分明细!$D:$D,H44,评分明细!$C:$C,I44,评分明细!$X:$X,"&lt;&gt;"),1)))</f>
        <v>0</v>
      </c>
      <c r="L44">
        <f t="shared" si="1"/>
        <v>0</v>
      </c>
      <c r="M44">
        <f>IF(J44=0,"",IF(I44="",COUNTIFS(评分明细!$D:$D,H44,评分明细!$X:$X,"&gt;=60"),COUNTIFS(评分明细!$D:$D,H44,评分明细!$C:$C,I44,评分明细!$X:$X,"&gt;=60")))</f>
        <v>0</v>
      </c>
      <c r="N44">
        <f>IF(J44=0,"",IF(I44="",COUNTIFS(评分明细!$D:$D,H44,评分明细!$X:$X,"&gt;=80"),COUNTIFS(评分明细!$D:$D,H44,评分明细!$C:$C,I44,评分明细!$X:$X,"&gt;=80")))</f>
        <v>0</v>
      </c>
    </row>
    <row r="45" spans="10:14">
      <c r="J45">
        <f>IF(H45="","",IF(I45="",COUNTIFS(评分明细!$D:$D,H45,评分明细!$X:$X,"&lt;&gt;"),COUNTIFS(评分明细!$D:$D,H45,评分明细!$C:$C,I45,评分明细!$X:$X,"&lt;&gt;")))</f>
        <v>0</v>
      </c>
      <c r="K45">
        <f>IF(J45=0,"",IF(I45="",ROUND(AVERAGEIFS(评分明细!$X:$X,评分明细!$D:$D,H45,评分明细!$X:$X,"&lt;&gt;"),1),ROUND(AVERAGEIFS(评分明细!$X:$X,评分明细!$D:$D,H45,评分明细!$C:$C,I45,评分明细!$X:$X,"&lt;&gt;"),1)))</f>
        <v>0</v>
      </c>
      <c r="L45">
        <f t="shared" si="1"/>
        <v>0</v>
      </c>
      <c r="M45">
        <f>IF(J45=0,"",IF(I45="",COUNTIFS(评分明细!$D:$D,H45,评分明细!$X:$X,"&gt;=60"),COUNTIFS(评分明细!$D:$D,H45,评分明细!$C:$C,I45,评分明细!$X:$X,"&gt;=60")))</f>
        <v>0</v>
      </c>
      <c r="N45">
        <f>IF(J45=0,"",IF(I45="",COUNTIFS(评分明细!$D:$D,H45,评分明细!$X:$X,"&gt;=80"),COUNTIFS(评分明细!$D:$D,H45,评分明细!$C:$C,I45,评分明细!$X:$X,"&gt;=80")))</f>
        <v>0</v>
      </c>
    </row>
    <row r="46" spans="10:14">
      <c r="J46">
        <f>IF(H46="","",IF(I46="",COUNTIFS(评分明细!$D:$D,H46,评分明细!$X:$X,"&lt;&gt;"),COUNTIFS(评分明细!$D:$D,H46,评分明细!$C:$C,I46,评分明细!$X:$X,"&lt;&gt;")))</f>
        <v>0</v>
      </c>
      <c r="K46">
        <f>IF(J46=0,"",IF(I46="",ROUND(AVERAGEIFS(评分明细!$X:$X,评分明细!$D:$D,H46,评分明细!$X:$X,"&lt;&gt;"),1),ROUND(AVERAGEIFS(评分明细!$X:$X,评分明细!$D:$D,H46,评分明细!$C:$C,I46,评分明细!$X:$X,"&lt;&gt;"),1)))</f>
        <v>0</v>
      </c>
      <c r="L46">
        <f t="shared" si="1"/>
        <v>0</v>
      </c>
      <c r="M46">
        <f>IF(J46=0,"",IF(I46="",COUNTIFS(评分明细!$D:$D,H46,评分明细!$X:$X,"&gt;=60"),COUNTIFS(评分明细!$D:$D,H46,评分明细!$C:$C,I46,评分明细!$X:$X,"&gt;=60")))</f>
        <v>0</v>
      </c>
      <c r="N46">
        <f>IF(J46=0,"",IF(I46="",COUNTIFS(评分明细!$D:$D,H46,评分明细!$X:$X,"&gt;=80"),COUNTIFS(评分明细!$D:$D,H46,评分明细!$C:$C,I46,评分明细!$X:$X,"&gt;=80")))</f>
        <v>0</v>
      </c>
    </row>
    <row r="47" spans="10:14">
      <c r="J47">
        <f>IF(H47="","",IF(I47="",COUNTIFS(评分明细!$D:$D,H47,评分明细!$X:$X,"&lt;&gt;"),COUNTIFS(评分明细!$D:$D,H47,评分明细!$C:$C,I47,评分明细!$X:$X,"&lt;&gt;")))</f>
        <v>0</v>
      </c>
      <c r="K47">
        <f>IF(J47=0,"",IF(I47="",ROUND(AVERAGEIFS(评分明细!$X:$X,评分明细!$D:$D,H47,评分明细!$X:$X,"&lt;&gt;"),1),ROUND(AVERAGEIFS(评分明细!$X:$X,评分明细!$D:$D,H47,评分明细!$C:$C,I47,评分明细!$X:$X,"&lt;&gt;"),1)))</f>
        <v>0</v>
      </c>
      <c r="L47">
        <f t="shared" si="1"/>
        <v>0</v>
      </c>
      <c r="M47">
        <f>IF(J47=0,"",IF(I47="",COUNTIFS(评分明细!$D:$D,H47,评分明细!$X:$X,"&gt;=60"),COUNTIFS(评分明细!$D:$D,H47,评分明细!$C:$C,I47,评分明细!$X:$X,"&gt;=60")))</f>
        <v>0</v>
      </c>
      <c r="N47">
        <f>IF(J47=0,"",IF(I47="",COUNTIFS(评分明细!$D:$D,H47,评分明细!$X:$X,"&gt;=80"),COUNTIFS(评分明细!$D:$D,H47,评分明细!$C:$C,I47,评分明细!$X:$X,"&gt;=80")))</f>
        <v>0</v>
      </c>
    </row>
    <row r="48" spans="10:14">
      <c r="J48">
        <f>IF(H48="","",IF(I48="",COUNTIFS(评分明细!$D:$D,H48,评分明细!$X:$X,"&lt;&gt;"),COUNTIFS(评分明细!$D:$D,H48,评分明细!$C:$C,I48,评分明细!$X:$X,"&lt;&gt;")))</f>
        <v>0</v>
      </c>
      <c r="K48">
        <f>IF(J48=0,"",IF(I48="",ROUND(AVERAGEIFS(评分明细!$X:$X,评分明细!$D:$D,H48,评分明细!$X:$X,"&lt;&gt;"),1),ROUND(AVERAGEIFS(评分明细!$X:$X,评分明细!$D:$D,H48,评分明细!$C:$C,I48,评分明细!$X:$X,"&lt;&gt;"),1)))</f>
        <v>0</v>
      </c>
      <c r="L48">
        <f t="shared" si="1"/>
        <v>0</v>
      </c>
      <c r="M48">
        <f>IF(J48=0,"",IF(I48="",COUNTIFS(评分明细!$D:$D,H48,评分明细!$X:$X,"&gt;=60"),COUNTIFS(评分明细!$D:$D,H48,评分明细!$C:$C,I48,评分明细!$X:$X,"&gt;=60")))</f>
        <v>0</v>
      </c>
      <c r="N48">
        <f>IF(J48=0,"",IF(I48="",COUNTIFS(评分明细!$D:$D,H48,评分明细!$X:$X,"&gt;=80"),COUNTIFS(评分明细!$D:$D,H48,评分明细!$C:$C,I48,评分明细!$X:$X,"&gt;=80")))</f>
        <v>0</v>
      </c>
    </row>
    <row r="49" spans="10:14">
      <c r="J49">
        <f>IF(H49="","",IF(I49="",COUNTIFS(评分明细!$D:$D,H49,评分明细!$X:$X,"&lt;&gt;"),COUNTIFS(评分明细!$D:$D,H49,评分明细!$C:$C,I49,评分明细!$X:$X,"&lt;&gt;")))</f>
        <v>0</v>
      </c>
      <c r="K49">
        <f>IF(J49=0,"",IF(I49="",ROUND(AVERAGEIFS(评分明细!$X:$X,评分明细!$D:$D,H49,评分明细!$X:$X,"&lt;&gt;"),1),ROUND(AVERAGEIFS(评分明细!$X:$X,评分明细!$D:$D,H49,评分明细!$C:$C,I49,评分明细!$X:$X,"&lt;&gt;"),1)))</f>
        <v>0</v>
      </c>
      <c r="L49">
        <f t="shared" si="1"/>
        <v>0</v>
      </c>
      <c r="M49">
        <f>IF(J49=0,"",IF(I49="",COUNTIFS(评分明细!$D:$D,H49,评分明细!$X:$X,"&gt;=60"),COUNTIFS(评分明细!$D:$D,H49,评分明细!$C:$C,I49,评分明细!$X:$X,"&gt;=60")))</f>
        <v>0</v>
      </c>
      <c r="N49">
        <f>IF(J49=0,"",IF(I49="",COUNTIFS(评分明细!$D:$D,H49,评分明细!$X:$X,"&gt;=80"),COUNTIFS(评分明细!$D:$D,H49,评分明细!$C:$C,I49,评分明细!$X:$X,"&gt;=80")))</f>
        <v>0</v>
      </c>
    </row>
    <row r="50" spans="10:14">
      <c r="J50">
        <f>IF(H50="","",IF(I50="",COUNTIFS(评分明细!$D:$D,H50,评分明细!$X:$X,"&lt;&gt;"),COUNTIFS(评分明细!$D:$D,H50,评分明细!$C:$C,I50,评分明细!$X:$X,"&lt;&gt;")))</f>
        <v>0</v>
      </c>
      <c r="K50">
        <f>IF(J50=0,"",IF(I50="",ROUND(AVERAGEIFS(评分明细!$X:$X,评分明细!$D:$D,H50,评分明细!$X:$X,"&lt;&gt;"),1),ROUND(AVERAGEIFS(评分明细!$X:$X,评分明细!$D:$D,H50,评分明细!$C:$C,I50,评分明细!$X:$X,"&lt;&gt;"),1)))</f>
        <v>0</v>
      </c>
      <c r="L50">
        <f t="shared" si="1"/>
        <v>0</v>
      </c>
      <c r="M50">
        <f>IF(J50=0,"",IF(I50="",COUNTIFS(评分明细!$D:$D,H50,评分明细!$X:$X,"&gt;=60"),COUNTIFS(评分明细!$D:$D,H50,评分明细!$C:$C,I50,评分明细!$X:$X,"&gt;=60")))</f>
        <v>0</v>
      </c>
      <c r="N50">
        <f>IF(J50=0,"",IF(I50="",COUNTIFS(评分明细!$D:$D,H50,评分明细!$X:$X,"&gt;=80"),COUNTIFS(评分明细!$D:$D,H50,评分明细!$C:$C,I50,评分明细!$X:$X,"&gt;=80")))</f>
        <v>0</v>
      </c>
    </row>
    <row r="51" spans="10:14">
      <c r="J51">
        <f>IF(H51="","",IF(I51="",COUNTIFS(评分明细!$D:$D,H51,评分明细!$X:$X,"&lt;&gt;"),COUNTIFS(评分明细!$D:$D,H51,评分明细!$C:$C,I51,评分明细!$X:$X,"&lt;&gt;")))</f>
        <v>0</v>
      </c>
      <c r="K51">
        <f>IF(J51=0,"",IF(I51="",ROUND(AVERAGEIFS(评分明细!$X:$X,评分明细!$D:$D,H51,评分明细!$X:$X,"&lt;&gt;"),1),ROUND(AVERAGEIFS(评分明细!$X:$X,评分明细!$D:$D,H51,评分明细!$C:$C,I51,评分明细!$X:$X,"&lt;&gt;"),1)))</f>
        <v>0</v>
      </c>
      <c r="L51">
        <f t="shared" si="1"/>
        <v>0</v>
      </c>
      <c r="M51">
        <f>IF(J51=0,"",IF(I51="",COUNTIFS(评分明细!$D:$D,H51,评分明细!$X:$X,"&gt;=60"),COUNTIFS(评分明细!$D:$D,H51,评分明细!$C:$C,I51,评分明细!$X:$X,"&gt;=60")))</f>
        <v>0</v>
      </c>
      <c r="N51">
        <f>IF(J51=0,"",IF(I51="",COUNTIFS(评分明细!$D:$D,H51,评分明细!$X:$X,"&gt;=80"),COUNTIFS(评分明细!$D:$D,H51,评分明细!$C:$C,I51,评分明细!$X:$X,"&gt;=80")))</f>
        <v>0</v>
      </c>
    </row>
    <row r="52" spans="10:14">
      <c r="J52">
        <f>IF(H52="","",IF(I52="",COUNTIFS(评分明细!$D:$D,H52,评分明细!$X:$X,"&lt;&gt;"),COUNTIFS(评分明细!$D:$D,H52,评分明细!$C:$C,I52,评分明细!$X:$X,"&lt;&gt;")))</f>
        <v>0</v>
      </c>
      <c r="K52">
        <f>IF(J52=0,"",IF(I52="",ROUND(AVERAGEIFS(评分明细!$X:$X,评分明细!$D:$D,H52,评分明细!$X:$X,"&lt;&gt;"),1),ROUND(AVERAGEIFS(评分明细!$X:$X,评分明细!$D:$D,H52,评分明细!$C:$C,I52,评分明细!$X:$X,"&lt;&gt;"),1)))</f>
        <v>0</v>
      </c>
      <c r="L52">
        <f t="shared" si="1"/>
        <v>0</v>
      </c>
      <c r="M52">
        <f>IF(J52=0,"",IF(I52="",COUNTIFS(评分明细!$D:$D,H52,评分明细!$X:$X,"&gt;=60"),COUNTIFS(评分明细!$D:$D,H52,评分明细!$C:$C,I52,评分明细!$X:$X,"&gt;=60")))</f>
        <v>0</v>
      </c>
      <c r="N52">
        <f>IF(J52=0,"",IF(I52="",COUNTIFS(评分明细!$D:$D,H52,评分明细!$X:$X,"&gt;=80"),COUNTIFS(评分明细!$D:$D,H52,评分明细!$C:$C,I52,评分明细!$X:$X,"&gt;=80")))</f>
        <v>0</v>
      </c>
    </row>
    <row r="53" spans="10:14">
      <c r="J53">
        <f>IF(H53="","",IF(I53="",COUNTIFS(评分明细!$D:$D,H53,评分明细!$X:$X,"&lt;&gt;"),COUNTIFS(评分明细!$D:$D,H53,评分明细!$C:$C,I53,评分明细!$X:$X,"&lt;&gt;")))</f>
        <v>0</v>
      </c>
      <c r="K53">
        <f>IF(J53=0,"",IF(I53="",ROUND(AVERAGEIFS(评分明细!$X:$X,评分明细!$D:$D,H53,评分明细!$X:$X,"&lt;&gt;"),1),ROUND(AVERAGEIFS(评分明细!$X:$X,评分明细!$D:$D,H53,评分明细!$C:$C,I53,评分明细!$X:$X,"&lt;&gt;"),1)))</f>
        <v>0</v>
      </c>
      <c r="L53">
        <f t="shared" si="1"/>
        <v>0</v>
      </c>
      <c r="M53">
        <f>IF(J53=0,"",IF(I53="",COUNTIFS(评分明细!$D:$D,H53,评分明细!$X:$X,"&gt;=60"),COUNTIFS(评分明细!$D:$D,H53,评分明细!$C:$C,I53,评分明细!$X:$X,"&gt;=60")))</f>
        <v>0</v>
      </c>
      <c r="N53">
        <f>IF(J53=0,"",IF(I53="",COUNTIFS(评分明细!$D:$D,H53,评分明细!$X:$X,"&gt;=80"),COUNTIFS(评分明细!$D:$D,H53,评分明细!$C:$C,I53,评分明细!$X:$X,"&gt;=80")))</f>
        <v>0</v>
      </c>
    </row>
    <row r="54" spans="10:14">
      <c r="J54">
        <f>IF(H54="","",IF(I54="",COUNTIFS(评分明细!$D:$D,H54,评分明细!$X:$X,"&lt;&gt;"),COUNTIFS(评分明细!$D:$D,H54,评分明细!$C:$C,I54,评分明细!$X:$X,"&lt;&gt;")))</f>
        <v>0</v>
      </c>
      <c r="K54">
        <f>IF(J54=0,"",IF(I54="",ROUND(AVERAGEIFS(评分明细!$X:$X,评分明细!$D:$D,H54,评分明细!$X:$X,"&lt;&gt;"),1),ROUND(AVERAGEIFS(评分明细!$X:$X,评分明细!$D:$D,H54,评分明细!$C:$C,I54,评分明细!$X:$X,"&lt;&gt;"),1)))</f>
        <v>0</v>
      </c>
      <c r="L54">
        <f t="shared" si="1"/>
        <v>0</v>
      </c>
      <c r="M54">
        <f>IF(J54=0,"",IF(I54="",COUNTIFS(评分明细!$D:$D,H54,评分明细!$X:$X,"&gt;=60"),COUNTIFS(评分明细!$D:$D,H54,评分明细!$C:$C,I54,评分明细!$X:$X,"&gt;=60")))</f>
        <v>0</v>
      </c>
      <c r="N54">
        <f>IF(J54=0,"",IF(I54="",COUNTIFS(评分明细!$D:$D,H54,评分明细!$X:$X,"&gt;=80"),COUNTIFS(评分明细!$D:$D,H54,评分明细!$C:$C,I54,评分明细!$X:$X,"&gt;=80")))</f>
        <v>0</v>
      </c>
    </row>
    <row r="55" spans="10:14">
      <c r="J55">
        <f>IF(H55="","",IF(I55="",COUNTIFS(评分明细!$D:$D,H55,评分明细!$X:$X,"&lt;&gt;"),COUNTIFS(评分明细!$D:$D,H55,评分明细!$C:$C,I55,评分明细!$X:$X,"&lt;&gt;")))</f>
        <v>0</v>
      </c>
      <c r="K55">
        <f>IF(J55=0,"",IF(I55="",ROUND(AVERAGEIFS(评分明细!$X:$X,评分明细!$D:$D,H55,评分明细!$X:$X,"&lt;&gt;"),1),ROUND(AVERAGEIFS(评分明细!$X:$X,评分明细!$D:$D,H55,评分明细!$C:$C,I55,评分明细!$X:$X,"&lt;&gt;"),1)))</f>
        <v>0</v>
      </c>
      <c r="L55">
        <f t="shared" si="1"/>
        <v>0</v>
      </c>
      <c r="M55">
        <f>IF(J55=0,"",IF(I55="",COUNTIFS(评分明细!$D:$D,H55,评分明细!$X:$X,"&gt;=60"),COUNTIFS(评分明细!$D:$D,H55,评分明细!$C:$C,I55,评分明细!$X:$X,"&gt;=60")))</f>
        <v>0</v>
      </c>
      <c r="N55">
        <f>IF(J55=0,"",IF(I55="",COUNTIFS(评分明细!$D:$D,H55,评分明细!$X:$X,"&gt;=80"),COUNTIFS(评分明细!$D:$D,H55,评分明细!$C:$C,I55,评分明细!$X:$X,"&gt;=80")))</f>
        <v>0</v>
      </c>
    </row>
    <row r="56" spans="10:14">
      <c r="J56">
        <f>IF(H56="","",IF(I56="",COUNTIFS(评分明细!$D:$D,H56,评分明细!$X:$X,"&lt;&gt;"),COUNTIFS(评分明细!$D:$D,H56,评分明细!$C:$C,I56,评分明细!$X:$X,"&lt;&gt;")))</f>
        <v>0</v>
      </c>
      <c r="K56">
        <f>IF(J56=0,"",IF(I56="",ROUND(AVERAGEIFS(评分明细!$X:$X,评分明细!$D:$D,H56,评分明细!$X:$X,"&lt;&gt;"),1),ROUND(AVERAGEIFS(评分明细!$X:$X,评分明细!$D:$D,H56,评分明细!$C:$C,I56,评分明细!$X:$X,"&lt;&gt;"),1)))</f>
        <v>0</v>
      </c>
      <c r="L56">
        <f t="shared" si="1"/>
        <v>0</v>
      </c>
      <c r="M56">
        <f>IF(J56=0,"",IF(I56="",COUNTIFS(评分明细!$D:$D,H56,评分明细!$X:$X,"&gt;=60"),COUNTIFS(评分明细!$D:$D,H56,评分明细!$C:$C,I56,评分明细!$X:$X,"&gt;=60")))</f>
        <v>0</v>
      </c>
      <c r="N56">
        <f>IF(J56=0,"",IF(I56="",COUNTIFS(评分明细!$D:$D,H56,评分明细!$X:$X,"&gt;=80"),COUNTIFS(评分明细!$D:$D,H56,评分明细!$C:$C,I56,评分明细!$X:$X,"&gt;=80")))</f>
        <v>0</v>
      </c>
    </row>
    <row r="57" spans="10:14">
      <c r="J57">
        <f>IF(H57="","",IF(I57="",COUNTIFS(评分明细!$D:$D,H57,评分明细!$X:$X,"&lt;&gt;"),COUNTIFS(评分明细!$D:$D,H57,评分明细!$C:$C,I57,评分明细!$X:$X,"&lt;&gt;")))</f>
        <v>0</v>
      </c>
      <c r="K57">
        <f>IF(J57=0,"",IF(I57="",ROUND(AVERAGEIFS(评分明细!$X:$X,评分明细!$D:$D,H57,评分明细!$X:$X,"&lt;&gt;"),1),ROUND(AVERAGEIFS(评分明细!$X:$X,评分明细!$D:$D,H57,评分明细!$C:$C,I57,评分明细!$X:$X,"&lt;&gt;"),1)))</f>
        <v>0</v>
      </c>
      <c r="L57">
        <f t="shared" si="1"/>
        <v>0</v>
      </c>
      <c r="M57">
        <f>IF(J57=0,"",IF(I57="",COUNTIFS(评分明细!$D:$D,H57,评分明细!$X:$X,"&gt;=60"),COUNTIFS(评分明细!$D:$D,H57,评分明细!$C:$C,I57,评分明细!$X:$X,"&gt;=60")))</f>
        <v>0</v>
      </c>
      <c r="N57">
        <f>IF(J57=0,"",IF(I57="",COUNTIFS(评分明细!$D:$D,H57,评分明细!$X:$X,"&gt;=80"),COUNTIFS(评分明细!$D:$D,H57,评分明细!$C:$C,I57,评分明细!$X:$X,"&gt;=80")))</f>
        <v>0</v>
      </c>
    </row>
    <row r="58" spans="10:14">
      <c r="J58">
        <f>IF(H58="","",IF(I58="",COUNTIFS(评分明细!$D:$D,H58,评分明细!$X:$X,"&lt;&gt;"),COUNTIFS(评分明细!$D:$D,H58,评分明细!$C:$C,I58,评分明细!$X:$X,"&lt;&gt;")))</f>
        <v>0</v>
      </c>
      <c r="K58">
        <f>IF(J58=0,"",IF(I58="",ROUND(AVERAGEIFS(评分明细!$X:$X,评分明细!$D:$D,H58,评分明细!$X:$X,"&lt;&gt;"),1),ROUND(AVERAGEIFS(评分明细!$X:$X,评分明细!$D:$D,H58,评分明细!$C:$C,I58,评分明细!$X:$X,"&lt;&gt;"),1)))</f>
        <v>0</v>
      </c>
      <c r="L58">
        <f t="shared" si="1"/>
        <v>0</v>
      </c>
      <c r="M58">
        <f>IF(J58=0,"",IF(I58="",COUNTIFS(评分明细!$D:$D,H58,评分明细!$X:$X,"&gt;=60"),COUNTIFS(评分明细!$D:$D,H58,评分明细!$C:$C,I58,评分明细!$X:$X,"&gt;=60")))</f>
        <v>0</v>
      </c>
      <c r="N58">
        <f>IF(J58=0,"",IF(I58="",COUNTIFS(评分明细!$D:$D,H58,评分明细!$X:$X,"&gt;=80"),COUNTIFS(评分明细!$D:$D,H58,评分明细!$C:$C,I58,评分明细!$X:$X,"&gt;=80")))</f>
        <v>0</v>
      </c>
    </row>
    <row r="59" spans="10:14">
      <c r="J59">
        <f>IF(H59="","",IF(I59="",COUNTIFS(评分明细!$D:$D,H59,评分明细!$X:$X,"&lt;&gt;"),COUNTIFS(评分明细!$D:$D,H59,评分明细!$C:$C,I59,评分明细!$X:$X,"&lt;&gt;")))</f>
        <v>0</v>
      </c>
      <c r="K59">
        <f>IF(J59=0,"",IF(I59="",ROUND(AVERAGEIFS(评分明细!$X:$X,评分明细!$D:$D,H59,评分明细!$X:$X,"&lt;&gt;"),1),ROUND(AVERAGEIFS(评分明细!$X:$X,评分明细!$D:$D,H59,评分明细!$C:$C,I59,评分明细!$X:$X,"&lt;&gt;"),1)))</f>
        <v>0</v>
      </c>
      <c r="L59">
        <f t="shared" si="1"/>
        <v>0</v>
      </c>
      <c r="M59">
        <f>IF(J59=0,"",IF(I59="",COUNTIFS(评分明细!$D:$D,H59,评分明细!$X:$X,"&gt;=60"),COUNTIFS(评分明细!$D:$D,H59,评分明细!$C:$C,I59,评分明细!$X:$X,"&gt;=60")))</f>
        <v>0</v>
      </c>
      <c r="N59">
        <f>IF(J59=0,"",IF(I59="",COUNTIFS(评分明细!$D:$D,H59,评分明细!$X:$X,"&gt;=80"),COUNTIFS(评分明细!$D:$D,H59,评分明细!$C:$C,I59,评分明细!$X:$X,"&gt;=80")))</f>
        <v>0</v>
      </c>
    </row>
    <row r="60" spans="10:14">
      <c r="J60">
        <f>IF(H60="","",IF(I60="",COUNTIFS(评分明细!$D:$D,H60,评分明细!$X:$X,"&lt;&gt;"),COUNTIFS(评分明细!$D:$D,H60,评分明细!$C:$C,I60,评分明细!$X:$X,"&lt;&gt;")))</f>
        <v>0</v>
      </c>
      <c r="K60">
        <f>IF(J60=0,"",IF(I60="",ROUND(AVERAGEIFS(评分明细!$X:$X,评分明细!$D:$D,H60,评分明细!$X:$X,"&lt;&gt;"),1),ROUND(AVERAGEIFS(评分明细!$X:$X,评分明细!$D:$D,H60,评分明细!$C:$C,I60,评分明细!$X:$X,"&lt;&gt;"),1)))</f>
        <v>0</v>
      </c>
      <c r="L60">
        <f t="shared" si="1"/>
        <v>0</v>
      </c>
      <c r="M60">
        <f>IF(J60=0,"",IF(I60="",COUNTIFS(评分明细!$D:$D,H60,评分明细!$X:$X,"&gt;=60"),COUNTIFS(评分明细!$D:$D,H60,评分明细!$C:$C,I60,评分明细!$X:$X,"&gt;=60")))</f>
        <v>0</v>
      </c>
      <c r="N60">
        <f>IF(J60=0,"",IF(I60="",COUNTIFS(评分明细!$D:$D,H60,评分明细!$X:$X,"&gt;=80"),COUNTIFS(评分明细!$D:$D,H60,评分明细!$C:$C,I60,评分明细!$X:$X,"&gt;=80")))</f>
        <v>0</v>
      </c>
    </row>
    <row r="61" spans="10:14">
      <c r="J61">
        <f>IF(H61="","",IF(I61="",COUNTIFS(评分明细!$D:$D,H61,评分明细!$X:$X,"&lt;&gt;"),COUNTIFS(评分明细!$D:$D,H61,评分明细!$C:$C,I61,评分明细!$X:$X,"&lt;&gt;")))</f>
        <v>0</v>
      </c>
      <c r="K61">
        <f>IF(J61=0,"",IF(I61="",ROUND(AVERAGEIFS(评分明细!$X:$X,评分明细!$D:$D,H61,评分明细!$X:$X,"&lt;&gt;"),1),ROUND(AVERAGEIFS(评分明细!$X:$X,评分明细!$D:$D,H61,评分明细!$C:$C,I61,评分明细!$X:$X,"&lt;&gt;"),1)))</f>
        <v>0</v>
      </c>
      <c r="L61">
        <f t="shared" si="1"/>
        <v>0</v>
      </c>
      <c r="M61">
        <f>IF(J61=0,"",IF(I61="",COUNTIFS(评分明细!$D:$D,H61,评分明细!$X:$X,"&gt;=60"),COUNTIFS(评分明细!$D:$D,H61,评分明细!$C:$C,I61,评分明细!$X:$X,"&gt;=60")))</f>
        <v>0</v>
      </c>
      <c r="N61">
        <f>IF(J61=0,"",IF(I61="",COUNTIFS(评分明细!$D:$D,H61,评分明细!$X:$X,"&gt;=80"),COUNTIFS(评分明细!$D:$D,H61,评分明细!$C:$C,I61,评分明细!$X:$X,"&gt;=80")))</f>
        <v>0</v>
      </c>
    </row>
    <row r="62" spans="10:14">
      <c r="J62">
        <f>IF(H62="","",IF(I62="",COUNTIFS(评分明细!$D:$D,H62,评分明细!$X:$X,"&lt;&gt;"),COUNTIFS(评分明细!$D:$D,H62,评分明细!$C:$C,I62,评分明细!$X:$X,"&lt;&gt;")))</f>
        <v>0</v>
      </c>
      <c r="K62">
        <f>IF(J62=0,"",IF(I62="",ROUND(AVERAGEIFS(评分明细!$X:$X,评分明细!$D:$D,H62,评分明细!$X:$X,"&lt;&gt;"),1),ROUND(AVERAGEIFS(评分明细!$X:$X,评分明细!$D:$D,H62,评分明细!$C:$C,I62,评分明细!$X:$X,"&lt;&gt;"),1)))</f>
        <v>0</v>
      </c>
      <c r="L62">
        <f t="shared" si="1"/>
        <v>0</v>
      </c>
      <c r="M62">
        <f>IF(J62=0,"",IF(I62="",COUNTIFS(评分明细!$D:$D,H62,评分明细!$X:$X,"&gt;=60"),COUNTIFS(评分明细!$D:$D,H62,评分明细!$C:$C,I62,评分明细!$X:$X,"&gt;=60")))</f>
        <v>0</v>
      </c>
      <c r="N62">
        <f>IF(J62=0,"",IF(I62="",COUNTIFS(评分明细!$D:$D,H62,评分明细!$X:$X,"&gt;=80"),COUNTIFS(评分明细!$D:$D,H62,评分明细!$C:$C,I62,评分明细!$X:$X,"&gt;=80")))</f>
        <v>0</v>
      </c>
    </row>
    <row r="63" spans="10:14">
      <c r="J63">
        <f>IF(H63="","",IF(I63="",COUNTIFS(评分明细!$D:$D,H63,评分明细!$X:$X,"&lt;&gt;"),COUNTIFS(评分明细!$D:$D,H63,评分明细!$C:$C,I63,评分明细!$X:$X,"&lt;&gt;")))</f>
        <v>0</v>
      </c>
      <c r="K63">
        <f>IF(J63=0,"",IF(I63="",ROUND(AVERAGEIFS(评分明细!$X:$X,评分明细!$D:$D,H63,评分明细!$X:$X,"&lt;&gt;"),1),ROUND(AVERAGEIFS(评分明细!$X:$X,评分明细!$D:$D,H63,评分明细!$C:$C,I63,评分明细!$X:$X,"&lt;&gt;"),1)))</f>
        <v>0</v>
      </c>
      <c r="L63">
        <f t="shared" si="1"/>
        <v>0</v>
      </c>
      <c r="M63">
        <f>IF(J63=0,"",IF(I63="",COUNTIFS(评分明细!$D:$D,H63,评分明细!$X:$X,"&gt;=60"),COUNTIFS(评分明细!$D:$D,H63,评分明细!$C:$C,I63,评分明细!$X:$X,"&gt;=60")))</f>
        <v>0</v>
      </c>
      <c r="N63">
        <f>IF(J63=0,"",IF(I63="",COUNTIFS(评分明细!$D:$D,H63,评分明细!$X:$X,"&gt;=80"),COUNTIFS(评分明细!$D:$D,H63,评分明细!$C:$C,I63,评分明细!$X:$X,"&gt;=80")))</f>
        <v>0</v>
      </c>
    </row>
    <row r="66" spans="1:1">
      <c r="A66" t="s">
        <v>223</v>
      </c>
    </row>
    <row r="67" spans="1:8">
      <c r="A67" t="s">
        <v>224</v>
      </c>
      <c r="B67" t="s">
        <v>225</v>
      </c>
      <c r="C67" t="s">
        <v>222</v>
      </c>
      <c r="D67" t="s">
        <v>216</v>
      </c>
      <c r="E67" t="s">
        <v>217</v>
      </c>
      <c r="F67" t="s">
        <v>218</v>
      </c>
      <c r="G67" t="s">
        <v>219</v>
      </c>
      <c r="H67" t="s">
        <v>220</v>
      </c>
    </row>
    <row r="68" spans="1:8">
      <c r="A68" t="s">
        <v>180</v>
      </c>
      <c r="B68" t="s">
        <v>179</v>
      </c>
      <c r="C68" t="s">
        <v>178</v>
      </c>
      <c r="D68">
        <f>IF(A68="","",IF(AND(B68="",C68=""),COUNTIFS(评分明细!$E:$E,A68,评分明细!$X:$X,"&lt;&gt;"),IF(C68="",COUNTIFS(评分明细!$E:$E,A68,评分明细!$D:$D,B68,评分明细!$X:$X,"&lt;&gt;"),IF(B68="",COUNTIFS(评分明细!$E:$E,A68,评分明细!$C:$C,C68,评分明细!$X:$X,"&lt;&gt;"),COUNTIFS(评分明细!$E:$E,A68,评分明细!$D:$D,B68,评分明细!$C:$C,C68,评分明细!$X:$X,"&lt;&gt;")))))</f>
        <v>0</v>
      </c>
      <c r="E68">
        <f>IF(D68=0,"",IF(AND(B68="",C68=""),ROUND(AVERAGEIFS(评分明细!$X:$X,评分明细!$E:$E,A68,评分明细!$X:$X,"&lt;&gt;"),1),IF(C68="",ROUND(AVERAGEIFS(评分明细!$X:$X,评分明细!$E:$E,A68,评分明细!$D:$D,B68,评分明细!$X:$X,"&lt;&gt;"),1),IF(B68="",ROUND(AVERAGEIFS(评分明细!$X:$X,评分明细!$E:$E,A68,评分明细!$C:$C,C68,评分明细!$X:$X,"&lt;&gt;"),1),ROUND(AVERAGEIFS(评分明细!$X:$X,评分明细!$E:$E,A68,评分明细!$D:$D,B68,评分明细!$C:$C,C68,评分明细!$X:$X,"&lt;&gt;"),1)))))</f>
        <v>0</v>
      </c>
      <c r="F68">
        <f t="shared" ref="F68:F131" si="2">IF(E68="","",ROUND(100-E68,1))</f>
        <v>0</v>
      </c>
      <c r="G68">
        <f>IF(D68=0,"",IF(AND(B68="",C68=""),COUNTIFS(评分明细!$E:$E,A68,评分明细!$X:$X,"&gt;=60"),IF(C68="",COUNTIFS(评分明细!$E:$E,A68,评分明细!$D:$D,B68,评分明细!$X:$X,"&gt;=60"),IF(B68="",COUNTIFS(评分明细!$E:$E,A68,评分明细!$C:$C,C68,评分明细!$X:$X,"&gt;=60"),COUNTIFS(评分明细!$E:$E,A68,评分明细!$D:$D,B68,评分明细!$C:$C,C68,评分明细!$X:$X,"&gt;=60")))))</f>
        <v>0</v>
      </c>
      <c r="H68">
        <f>IF(D68=0,"",IF(AND(B68="",C68=""),COUNTIFS(评分明细!$E:$E,A68,评分明细!$X:$X,"&gt;=80"),IF(C68="",COUNTIFS(评分明细!$E:$E,A68,评分明细!$D:$D,B68,评分明细!$X:$X,"&gt;=80"),IF(B68="",COUNTIFS(评分明细!$E:$E,A68,评分明细!$C:$C,C68,评分明细!$X:$X,"&gt;=80"),COUNTIFS(评分明细!$E:$E,A68,评分明细!$D:$D,B68,评分明细!$C:$C,C68,评分明细!$X:$X,"&gt;=80")))))</f>
        <v>0</v>
      </c>
    </row>
    <row r="69" spans="1:8">
      <c r="A69" t="s">
        <v>185</v>
      </c>
      <c r="B69" t="s">
        <v>184</v>
      </c>
      <c r="C69" t="s">
        <v>178</v>
      </c>
      <c r="D69">
        <f>IF(A69="","",IF(AND(B69="",C69=""),COUNTIFS(评分明细!$E:$E,A69,评分明细!$X:$X,"&lt;&gt;"),IF(C69="",COUNTIFS(评分明细!$E:$E,A69,评分明细!$D:$D,B69,评分明细!$X:$X,"&lt;&gt;"),IF(B69="",COUNTIFS(评分明细!$E:$E,A69,评分明细!$C:$C,C69,评分明细!$X:$X,"&lt;&gt;"),COUNTIFS(评分明细!$E:$E,A69,评分明细!$D:$D,B69,评分明细!$C:$C,C69,评分明细!$X:$X,"&lt;&gt;")))))</f>
        <v>0</v>
      </c>
      <c r="E69">
        <f>IF(D69=0,"",IF(AND(B69="",C69=""),ROUND(AVERAGEIFS(评分明细!$X:$X,评分明细!$E:$E,A69,评分明细!$X:$X,"&lt;&gt;"),1),IF(C69="",ROUND(AVERAGEIFS(评分明细!$X:$X,评分明细!$E:$E,A69,评分明细!$D:$D,B69,评分明细!$X:$X,"&lt;&gt;"),1),IF(B69="",ROUND(AVERAGEIFS(评分明细!$X:$X,评分明细!$E:$E,A69,评分明细!$C:$C,C69,评分明细!$X:$X,"&lt;&gt;"),1),ROUND(AVERAGEIFS(评分明细!$X:$X,评分明细!$E:$E,A69,评分明细!$D:$D,B69,评分明细!$C:$C,C69,评分明细!$X:$X,"&lt;&gt;"),1)))))</f>
        <v>0</v>
      </c>
      <c r="F69">
        <f t="shared" si="2"/>
        <v>0</v>
      </c>
      <c r="G69">
        <f>IF(D69=0,"",IF(AND(B69="",C69=""),COUNTIFS(评分明细!$E:$E,A69,评分明细!$X:$X,"&gt;=60"),IF(C69="",COUNTIFS(评分明细!$E:$E,A69,评分明细!$D:$D,B69,评分明细!$X:$X,"&gt;=60"),IF(B69="",COUNTIFS(评分明细!$E:$E,A69,评分明细!$C:$C,C69,评分明细!$X:$X,"&gt;=60"),COUNTIFS(评分明细!$E:$E,A69,评分明细!$D:$D,B69,评分明细!$C:$C,C69,评分明细!$X:$X,"&gt;=60")))))</f>
        <v>0</v>
      </c>
      <c r="H69">
        <f>IF(D69=0,"",IF(AND(B69="",C69=""),COUNTIFS(评分明细!$E:$E,A69,评分明细!$X:$X,"&gt;=80"),IF(C69="",COUNTIFS(评分明细!$E:$E,A69,评分明细!$D:$D,B69,评分明细!$X:$X,"&gt;=80"),IF(B69="",COUNTIFS(评分明细!$E:$E,A69,评分明细!$C:$C,C69,评分明细!$X:$X,"&gt;=80"),COUNTIFS(评分明细!$E:$E,A69,评分明细!$D:$D,B69,评分明细!$C:$C,C69,评分明细!$X:$X,"&gt;=80")))))</f>
        <v>0</v>
      </c>
    </row>
    <row r="70" spans="1:8">
      <c r="A70" t="s">
        <v>191</v>
      </c>
      <c r="B70" t="s">
        <v>190</v>
      </c>
      <c r="C70" t="s">
        <v>189</v>
      </c>
      <c r="D70">
        <f>IF(A70="","",IF(AND(B70="",C70=""),COUNTIFS(评分明细!$E:$E,A70,评分明细!$X:$X,"&lt;&gt;"),IF(C70="",COUNTIFS(评分明细!$E:$E,A70,评分明细!$D:$D,B70,评分明细!$X:$X,"&lt;&gt;"),IF(B70="",COUNTIFS(评分明细!$E:$E,A70,评分明细!$C:$C,C70,评分明细!$X:$X,"&lt;&gt;"),COUNTIFS(评分明细!$E:$E,A70,评分明细!$D:$D,B70,评分明细!$C:$C,C70,评分明细!$X:$X,"&lt;&gt;")))))</f>
        <v>0</v>
      </c>
      <c r="E70">
        <f>IF(D70=0,"",IF(AND(B70="",C70=""),ROUND(AVERAGEIFS(评分明细!$X:$X,评分明细!$E:$E,A70,评分明细!$X:$X,"&lt;&gt;"),1),IF(C70="",ROUND(AVERAGEIFS(评分明细!$X:$X,评分明细!$E:$E,A70,评分明细!$D:$D,B70,评分明细!$X:$X,"&lt;&gt;"),1),IF(B70="",ROUND(AVERAGEIFS(评分明细!$X:$X,评分明细!$E:$E,A70,评分明细!$C:$C,C70,评分明细!$X:$X,"&lt;&gt;"),1),ROUND(AVERAGEIFS(评分明细!$X:$X,评分明细!$E:$E,A70,评分明细!$D:$D,B70,评分明细!$C:$C,C70,评分明细!$X:$X,"&lt;&gt;"),1)))))</f>
        <v>0</v>
      </c>
      <c r="F70">
        <f t="shared" si="2"/>
        <v>0</v>
      </c>
      <c r="G70">
        <f>IF(D70=0,"",IF(AND(B70="",C70=""),COUNTIFS(评分明细!$E:$E,A70,评分明细!$X:$X,"&gt;=60"),IF(C70="",COUNTIFS(评分明细!$E:$E,A70,评分明细!$D:$D,B70,评分明细!$X:$X,"&gt;=60"),IF(B70="",COUNTIFS(评分明细!$E:$E,A70,评分明细!$C:$C,C70,评分明细!$X:$X,"&gt;=60"),COUNTIFS(评分明细!$E:$E,A70,评分明细!$D:$D,B70,评分明细!$C:$C,C70,评分明细!$X:$X,"&gt;=60")))))</f>
        <v>0</v>
      </c>
      <c r="H70">
        <f>IF(D70=0,"",IF(AND(B70="",C70=""),COUNTIFS(评分明细!$E:$E,A70,评分明细!$X:$X,"&gt;=80"),IF(C70="",COUNTIFS(评分明细!$E:$E,A70,评分明细!$D:$D,B70,评分明细!$X:$X,"&gt;=80"),IF(B70="",COUNTIFS(评分明细!$E:$E,A70,评分明细!$C:$C,C70,评分明细!$X:$X,"&gt;=80"),COUNTIFS(评分明细!$E:$E,A70,评分明细!$D:$D,B70,评分明细!$C:$C,C70,评分明细!$X:$X,"&gt;=80")))))</f>
        <v>0</v>
      </c>
    </row>
    <row r="71" spans="1:8">
      <c r="A71" t="s">
        <v>196</v>
      </c>
      <c r="B71" t="s">
        <v>195</v>
      </c>
      <c r="C71" t="s">
        <v>194</v>
      </c>
      <c r="D71">
        <f>IF(A71="","",IF(AND(B71="",C71=""),COUNTIFS(评分明细!$E:$E,A71,评分明细!$X:$X,"&lt;&gt;"),IF(C71="",COUNTIFS(评分明细!$E:$E,A71,评分明细!$D:$D,B71,评分明细!$X:$X,"&lt;&gt;"),IF(B71="",COUNTIFS(评分明细!$E:$E,A71,评分明细!$C:$C,C71,评分明细!$X:$X,"&lt;&gt;"),COUNTIFS(评分明细!$E:$E,A71,评分明细!$D:$D,B71,评分明细!$C:$C,C71,评分明细!$X:$X,"&lt;&gt;")))))</f>
        <v>0</v>
      </c>
      <c r="E71">
        <f>IF(D71=0,"",IF(AND(B71="",C71=""),ROUND(AVERAGEIFS(评分明细!$X:$X,评分明细!$E:$E,A71,评分明细!$X:$X,"&lt;&gt;"),1),IF(C71="",ROUND(AVERAGEIFS(评分明细!$X:$X,评分明细!$E:$E,A71,评分明细!$D:$D,B71,评分明细!$X:$X,"&lt;&gt;"),1),IF(B71="",ROUND(AVERAGEIFS(评分明细!$X:$X,评分明细!$E:$E,A71,评分明细!$C:$C,C71,评分明细!$X:$X,"&lt;&gt;"),1),ROUND(AVERAGEIFS(评分明细!$X:$X,评分明细!$E:$E,A71,评分明细!$D:$D,B71,评分明细!$C:$C,C71,评分明细!$X:$X,"&lt;&gt;"),1)))))</f>
        <v>0</v>
      </c>
      <c r="F71">
        <f t="shared" si="2"/>
        <v>0</v>
      </c>
      <c r="G71">
        <f>IF(D71=0,"",IF(AND(B71="",C71=""),COUNTIFS(评分明细!$E:$E,A71,评分明细!$X:$X,"&gt;=60"),IF(C71="",COUNTIFS(评分明细!$E:$E,A71,评分明细!$D:$D,B71,评分明细!$X:$X,"&gt;=60"),IF(B71="",COUNTIFS(评分明细!$E:$E,A71,评分明细!$C:$C,C71,评分明细!$X:$X,"&gt;=60"),COUNTIFS(评分明细!$E:$E,A71,评分明细!$D:$D,B71,评分明细!$C:$C,C71,评分明细!$X:$X,"&gt;=60")))))</f>
        <v>0</v>
      </c>
      <c r="H71">
        <f>IF(D71=0,"",IF(AND(B71="",C71=""),COUNTIFS(评分明细!$E:$E,A71,评分明细!$X:$X,"&gt;=80"),IF(C71="",COUNTIFS(评分明细!$E:$E,A71,评分明细!$D:$D,B71,评分明细!$X:$X,"&gt;=80"),IF(B71="",COUNTIFS(评分明细!$E:$E,A71,评分明细!$C:$C,C71,评分明细!$X:$X,"&gt;=80"),COUNTIFS(评分明细!$E:$E,A71,评分明细!$D:$D,B71,评分明细!$C:$C,C71,评分明细!$X:$X,"&gt;=80")))))</f>
        <v>0</v>
      </c>
    </row>
    <row r="72" spans="1:8">
      <c r="A72" t="s">
        <v>201</v>
      </c>
      <c r="B72" t="s">
        <v>200</v>
      </c>
      <c r="C72" t="s">
        <v>199</v>
      </c>
      <c r="D72">
        <f>IF(A72="","",IF(AND(B72="",C72=""),COUNTIFS(评分明细!$E:$E,A72,评分明细!$X:$X,"&lt;&gt;"),IF(C72="",COUNTIFS(评分明细!$E:$E,A72,评分明细!$D:$D,B72,评分明细!$X:$X,"&lt;&gt;"),IF(B72="",COUNTIFS(评分明细!$E:$E,A72,评分明细!$C:$C,C72,评分明细!$X:$X,"&lt;&gt;"),COUNTIFS(评分明细!$E:$E,A72,评分明细!$D:$D,B72,评分明细!$C:$C,C72,评分明细!$X:$X,"&lt;&gt;")))))</f>
        <v>0</v>
      </c>
      <c r="E72">
        <f>IF(D72=0,"",IF(AND(B72="",C72=""),ROUND(AVERAGEIFS(评分明细!$X:$X,评分明细!$E:$E,A72,评分明细!$X:$X,"&lt;&gt;"),1),IF(C72="",ROUND(AVERAGEIFS(评分明细!$X:$X,评分明细!$E:$E,A72,评分明细!$D:$D,B72,评分明细!$X:$X,"&lt;&gt;"),1),IF(B72="",ROUND(AVERAGEIFS(评分明细!$X:$X,评分明细!$E:$E,A72,评分明细!$C:$C,C72,评分明细!$X:$X,"&lt;&gt;"),1),ROUND(AVERAGEIFS(评分明细!$X:$X,评分明细!$E:$E,A72,评分明细!$D:$D,B72,评分明细!$C:$C,C72,评分明细!$X:$X,"&lt;&gt;"),1)))))</f>
        <v>0</v>
      </c>
      <c r="F72">
        <f t="shared" si="2"/>
        <v>0</v>
      </c>
      <c r="G72">
        <f>IF(D72=0,"",IF(AND(B72="",C72=""),COUNTIFS(评分明细!$E:$E,A72,评分明细!$X:$X,"&gt;=60"),IF(C72="",COUNTIFS(评分明细!$E:$E,A72,评分明细!$D:$D,B72,评分明细!$X:$X,"&gt;=60"),IF(B72="",COUNTIFS(评分明细!$E:$E,A72,评分明细!$C:$C,C72,评分明细!$X:$X,"&gt;=60"),COUNTIFS(评分明细!$E:$E,A72,评分明细!$D:$D,B72,评分明细!$C:$C,C72,评分明细!$X:$X,"&gt;=60")))))</f>
        <v>0</v>
      </c>
      <c r="H72">
        <f>IF(D72=0,"",IF(AND(B72="",C72=""),COUNTIFS(评分明细!$E:$E,A72,评分明细!$X:$X,"&gt;=80"),IF(C72="",COUNTIFS(评分明细!$E:$E,A72,评分明细!$D:$D,B72,评分明细!$X:$X,"&gt;=80"),IF(B72="",COUNTIFS(评分明细!$E:$E,A72,评分明细!$C:$C,C72,评分明细!$X:$X,"&gt;=80"),COUNTIFS(评分明细!$E:$E,A72,评分明细!$D:$D,B72,评分明细!$C:$C,C72,评分明细!$X:$X,"&gt;=80")))))</f>
        <v>0</v>
      </c>
    </row>
    <row r="73" spans="4:8">
      <c r="D73">
        <f>IF(A73="","",IF(AND(B73="",C73=""),COUNTIFS(评分明细!$E:$E,A73,评分明细!$X:$X,"&lt;&gt;"),IF(C73="",COUNTIFS(评分明细!$E:$E,A73,评分明细!$D:$D,B73,评分明细!$X:$X,"&lt;&gt;"),IF(B73="",COUNTIFS(评分明细!$E:$E,A73,评分明细!$C:$C,C73,评分明细!$X:$X,"&lt;&gt;"),COUNTIFS(评分明细!$E:$E,A73,评分明细!$D:$D,B73,评分明细!$C:$C,C73,评分明细!$X:$X,"&lt;&gt;")))))</f>
        <v>0</v>
      </c>
      <c r="E73">
        <f>IF(D73=0,"",IF(AND(B73="",C73=""),ROUND(AVERAGEIFS(评分明细!$X:$X,评分明细!$E:$E,A73,评分明细!$X:$X,"&lt;&gt;"),1),IF(C73="",ROUND(AVERAGEIFS(评分明细!$X:$X,评分明细!$E:$E,A73,评分明细!$D:$D,B73,评分明细!$X:$X,"&lt;&gt;"),1),IF(B73="",ROUND(AVERAGEIFS(评分明细!$X:$X,评分明细!$E:$E,A73,评分明细!$C:$C,C73,评分明细!$X:$X,"&lt;&gt;"),1),ROUND(AVERAGEIFS(评分明细!$X:$X,评分明细!$E:$E,A73,评分明细!$D:$D,B73,评分明细!$C:$C,C73,评分明细!$X:$X,"&lt;&gt;"),1)))))</f>
        <v>0</v>
      </c>
      <c r="F73">
        <f t="shared" si="2"/>
        <v>0</v>
      </c>
      <c r="G73">
        <f>IF(D73=0,"",IF(AND(B73="",C73=""),COUNTIFS(评分明细!$E:$E,A73,评分明细!$X:$X,"&gt;=60"),IF(C73="",COUNTIFS(评分明细!$E:$E,A73,评分明细!$D:$D,B73,评分明细!$X:$X,"&gt;=60"),IF(B73="",COUNTIFS(评分明细!$E:$E,A73,评分明细!$C:$C,C73,评分明细!$X:$X,"&gt;=60"),COUNTIFS(评分明细!$E:$E,A73,评分明细!$D:$D,B73,评分明细!$C:$C,C73,评分明细!$X:$X,"&gt;=60")))))</f>
        <v>0</v>
      </c>
      <c r="H73">
        <f>IF(D73=0,"",IF(AND(B73="",C73=""),COUNTIFS(评分明细!$E:$E,A73,评分明细!$X:$X,"&gt;=80"),IF(C73="",COUNTIFS(评分明细!$E:$E,A73,评分明细!$D:$D,B73,评分明细!$X:$X,"&gt;=80"),IF(B73="",COUNTIFS(评分明细!$E:$E,A73,评分明细!$C:$C,C73,评分明细!$X:$X,"&gt;=80"),COUNTIFS(评分明细!$E:$E,A73,评分明细!$D:$D,B73,评分明细!$C:$C,C73,评分明细!$X:$X,"&gt;=80")))))</f>
        <v>0</v>
      </c>
    </row>
    <row r="74" spans="4:8">
      <c r="D74">
        <f>IF(A74="","",IF(AND(B74="",C74=""),COUNTIFS(评分明细!$E:$E,A74,评分明细!$X:$X,"&lt;&gt;"),IF(C74="",COUNTIFS(评分明细!$E:$E,A74,评分明细!$D:$D,B74,评分明细!$X:$X,"&lt;&gt;"),IF(B74="",COUNTIFS(评分明细!$E:$E,A74,评分明细!$C:$C,C74,评分明细!$X:$X,"&lt;&gt;"),COUNTIFS(评分明细!$E:$E,A74,评分明细!$D:$D,B74,评分明细!$C:$C,C74,评分明细!$X:$X,"&lt;&gt;")))))</f>
        <v>0</v>
      </c>
      <c r="E74">
        <f>IF(D74=0,"",IF(AND(B74="",C74=""),ROUND(AVERAGEIFS(评分明细!$X:$X,评分明细!$E:$E,A74,评分明细!$X:$X,"&lt;&gt;"),1),IF(C74="",ROUND(AVERAGEIFS(评分明细!$X:$X,评分明细!$E:$E,A74,评分明细!$D:$D,B74,评分明细!$X:$X,"&lt;&gt;"),1),IF(B74="",ROUND(AVERAGEIFS(评分明细!$X:$X,评分明细!$E:$E,A74,评分明细!$C:$C,C74,评分明细!$X:$X,"&lt;&gt;"),1),ROUND(AVERAGEIFS(评分明细!$X:$X,评分明细!$E:$E,A74,评分明细!$D:$D,B74,评分明细!$C:$C,C74,评分明细!$X:$X,"&lt;&gt;"),1)))))</f>
        <v>0</v>
      </c>
      <c r="F74">
        <f t="shared" si="2"/>
        <v>0</v>
      </c>
      <c r="G74">
        <f>IF(D74=0,"",IF(AND(B74="",C74=""),COUNTIFS(评分明细!$E:$E,A74,评分明细!$X:$X,"&gt;=60"),IF(C74="",COUNTIFS(评分明细!$E:$E,A74,评分明细!$D:$D,B74,评分明细!$X:$X,"&gt;=60"),IF(B74="",COUNTIFS(评分明细!$E:$E,A74,评分明细!$C:$C,C74,评分明细!$X:$X,"&gt;=60"),COUNTIFS(评分明细!$E:$E,A74,评分明细!$D:$D,B74,评分明细!$C:$C,C74,评分明细!$X:$X,"&gt;=60")))))</f>
        <v>0</v>
      </c>
      <c r="H74">
        <f>IF(D74=0,"",IF(AND(B74="",C74=""),COUNTIFS(评分明细!$E:$E,A74,评分明细!$X:$X,"&gt;=80"),IF(C74="",COUNTIFS(评分明细!$E:$E,A74,评分明细!$D:$D,B74,评分明细!$X:$X,"&gt;=80"),IF(B74="",COUNTIFS(评分明细!$E:$E,A74,评分明细!$C:$C,C74,评分明细!$X:$X,"&gt;=80"),COUNTIFS(评分明细!$E:$E,A74,评分明细!$D:$D,B74,评分明细!$C:$C,C74,评分明细!$X:$X,"&gt;=80")))))</f>
        <v>0</v>
      </c>
    </row>
    <row r="75" spans="4:8">
      <c r="D75">
        <f>IF(A75="","",IF(AND(B75="",C75=""),COUNTIFS(评分明细!$E:$E,A75,评分明细!$X:$X,"&lt;&gt;"),IF(C75="",COUNTIFS(评分明细!$E:$E,A75,评分明细!$D:$D,B75,评分明细!$X:$X,"&lt;&gt;"),IF(B75="",COUNTIFS(评分明细!$E:$E,A75,评分明细!$C:$C,C75,评分明细!$X:$X,"&lt;&gt;"),COUNTIFS(评分明细!$E:$E,A75,评分明细!$D:$D,B75,评分明细!$C:$C,C75,评分明细!$X:$X,"&lt;&gt;")))))</f>
        <v>0</v>
      </c>
      <c r="E75">
        <f>IF(D75=0,"",IF(AND(B75="",C75=""),ROUND(AVERAGEIFS(评分明细!$X:$X,评分明细!$E:$E,A75,评分明细!$X:$X,"&lt;&gt;"),1),IF(C75="",ROUND(AVERAGEIFS(评分明细!$X:$X,评分明细!$E:$E,A75,评分明细!$D:$D,B75,评分明细!$X:$X,"&lt;&gt;"),1),IF(B75="",ROUND(AVERAGEIFS(评分明细!$X:$X,评分明细!$E:$E,A75,评分明细!$C:$C,C75,评分明细!$X:$X,"&lt;&gt;"),1),ROUND(AVERAGEIFS(评分明细!$X:$X,评分明细!$E:$E,A75,评分明细!$D:$D,B75,评分明细!$C:$C,C75,评分明细!$X:$X,"&lt;&gt;"),1)))))</f>
        <v>0</v>
      </c>
      <c r="F75">
        <f t="shared" si="2"/>
        <v>0</v>
      </c>
      <c r="G75">
        <f>IF(D75=0,"",IF(AND(B75="",C75=""),COUNTIFS(评分明细!$E:$E,A75,评分明细!$X:$X,"&gt;=60"),IF(C75="",COUNTIFS(评分明细!$E:$E,A75,评分明细!$D:$D,B75,评分明细!$X:$X,"&gt;=60"),IF(B75="",COUNTIFS(评分明细!$E:$E,A75,评分明细!$C:$C,C75,评分明细!$X:$X,"&gt;=60"),COUNTIFS(评分明细!$E:$E,A75,评分明细!$D:$D,B75,评分明细!$C:$C,C75,评分明细!$X:$X,"&gt;=60")))))</f>
        <v>0</v>
      </c>
      <c r="H75">
        <f>IF(D75=0,"",IF(AND(B75="",C75=""),COUNTIFS(评分明细!$E:$E,A75,评分明细!$X:$X,"&gt;=80"),IF(C75="",COUNTIFS(评分明细!$E:$E,A75,评分明细!$D:$D,B75,评分明细!$X:$X,"&gt;=80"),IF(B75="",COUNTIFS(评分明细!$E:$E,A75,评分明细!$C:$C,C75,评分明细!$X:$X,"&gt;=80"),COUNTIFS(评分明细!$E:$E,A75,评分明细!$D:$D,B75,评分明细!$C:$C,C75,评分明细!$X:$X,"&gt;=80")))))</f>
        <v>0</v>
      </c>
    </row>
    <row r="76" spans="4:8">
      <c r="D76">
        <f>IF(A76="","",IF(AND(B76="",C76=""),COUNTIFS(评分明细!$E:$E,A76,评分明细!$X:$X,"&lt;&gt;"),IF(C76="",COUNTIFS(评分明细!$E:$E,A76,评分明细!$D:$D,B76,评分明细!$X:$X,"&lt;&gt;"),IF(B76="",COUNTIFS(评分明细!$E:$E,A76,评分明细!$C:$C,C76,评分明细!$X:$X,"&lt;&gt;"),COUNTIFS(评分明细!$E:$E,A76,评分明细!$D:$D,B76,评分明细!$C:$C,C76,评分明细!$X:$X,"&lt;&gt;")))))</f>
        <v>0</v>
      </c>
      <c r="E76">
        <f>IF(D76=0,"",IF(AND(B76="",C76=""),ROUND(AVERAGEIFS(评分明细!$X:$X,评分明细!$E:$E,A76,评分明细!$X:$X,"&lt;&gt;"),1),IF(C76="",ROUND(AVERAGEIFS(评分明细!$X:$X,评分明细!$E:$E,A76,评分明细!$D:$D,B76,评分明细!$X:$X,"&lt;&gt;"),1),IF(B76="",ROUND(AVERAGEIFS(评分明细!$X:$X,评分明细!$E:$E,A76,评分明细!$C:$C,C76,评分明细!$X:$X,"&lt;&gt;"),1),ROUND(AVERAGEIFS(评分明细!$X:$X,评分明细!$E:$E,A76,评分明细!$D:$D,B76,评分明细!$C:$C,C76,评分明细!$X:$X,"&lt;&gt;"),1)))))</f>
        <v>0</v>
      </c>
      <c r="F76">
        <f t="shared" si="2"/>
        <v>0</v>
      </c>
      <c r="G76">
        <f>IF(D76=0,"",IF(AND(B76="",C76=""),COUNTIFS(评分明细!$E:$E,A76,评分明细!$X:$X,"&gt;=60"),IF(C76="",COUNTIFS(评分明细!$E:$E,A76,评分明细!$D:$D,B76,评分明细!$X:$X,"&gt;=60"),IF(B76="",COUNTIFS(评分明细!$E:$E,A76,评分明细!$C:$C,C76,评分明细!$X:$X,"&gt;=60"),COUNTIFS(评分明细!$E:$E,A76,评分明细!$D:$D,B76,评分明细!$C:$C,C76,评分明细!$X:$X,"&gt;=60")))))</f>
        <v>0</v>
      </c>
      <c r="H76">
        <f>IF(D76=0,"",IF(AND(B76="",C76=""),COUNTIFS(评分明细!$E:$E,A76,评分明细!$X:$X,"&gt;=80"),IF(C76="",COUNTIFS(评分明细!$E:$E,A76,评分明细!$D:$D,B76,评分明细!$X:$X,"&gt;=80"),IF(B76="",COUNTIFS(评分明细!$E:$E,A76,评分明细!$C:$C,C76,评分明细!$X:$X,"&gt;=80"),COUNTIFS(评分明细!$E:$E,A76,评分明细!$D:$D,B76,评分明细!$C:$C,C76,评分明细!$X:$X,"&gt;=80")))))</f>
        <v>0</v>
      </c>
    </row>
    <row r="77" spans="4:8">
      <c r="D77">
        <f>IF(A77="","",IF(AND(B77="",C77=""),COUNTIFS(评分明细!$E:$E,A77,评分明细!$X:$X,"&lt;&gt;"),IF(C77="",COUNTIFS(评分明细!$E:$E,A77,评分明细!$D:$D,B77,评分明细!$X:$X,"&lt;&gt;"),IF(B77="",COUNTIFS(评分明细!$E:$E,A77,评分明细!$C:$C,C77,评分明细!$X:$X,"&lt;&gt;"),COUNTIFS(评分明细!$E:$E,A77,评分明细!$D:$D,B77,评分明细!$C:$C,C77,评分明细!$X:$X,"&lt;&gt;")))))</f>
        <v>0</v>
      </c>
      <c r="E77">
        <f>IF(D77=0,"",IF(AND(B77="",C77=""),ROUND(AVERAGEIFS(评分明细!$X:$X,评分明细!$E:$E,A77,评分明细!$X:$X,"&lt;&gt;"),1),IF(C77="",ROUND(AVERAGEIFS(评分明细!$X:$X,评分明细!$E:$E,A77,评分明细!$D:$D,B77,评分明细!$X:$X,"&lt;&gt;"),1),IF(B77="",ROUND(AVERAGEIFS(评分明细!$X:$X,评分明细!$E:$E,A77,评分明细!$C:$C,C77,评分明细!$X:$X,"&lt;&gt;"),1),ROUND(AVERAGEIFS(评分明细!$X:$X,评分明细!$E:$E,A77,评分明细!$D:$D,B77,评分明细!$C:$C,C77,评分明细!$X:$X,"&lt;&gt;"),1)))))</f>
        <v>0</v>
      </c>
      <c r="F77">
        <f t="shared" si="2"/>
        <v>0</v>
      </c>
      <c r="G77">
        <f>IF(D77=0,"",IF(AND(B77="",C77=""),COUNTIFS(评分明细!$E:$E,A77,评分明细!$X:$X,"&gt;=60"),IF(C77="",COUNTIFS(评分明细!$E:$E,A77,评分明细!$D:$D,B77,评分明细!$X:$X,"&gt;=60"),IF(B77="",COUNTIFS(评分明细!$E:$E,A77,评分明细!$C:$C,C77,评分明细!$X:$X,"&gt;=60"),COUNTIFS(评分明细!$E:$E,A77,评分明细!$D:$D,B77,评分明细!$C:$C,C77,评分明细!$X:$X,"&gt;=60")))))</f>
        <v>0</v>
      </c>
      <c r="H77">
        <f>IF(D77=0,"",IF(AND(B77="",C77=""),COUNTIFS(评分明细!$E:$E,A77,评分明细!$X:$X,"&gt;=80"),IF(C77="",COUNTIFS(评分明细!$E:$E,A77,评分明细!$D:$D,B77,评分明细!$X:$X,"&gt;=80"),IF(B77="",COUNTIFS(评分明细!$E:$E,A77,评分明细!$C:$C,C77,评分明细!$X:$X,"&gt;=80"),COUNTIFS(评分明细!$E:$E,A77,评分明细!$D:$D,B77,评分明细!$C:$C,C77,评分明细!$X:$X,"&gt;=80")))))</f>
        <v>0</v>
      </c>
    </row>
    <row r="78" spans="4:8">
      <c r="D78">
        <f>IF(A78="","",IF(AND(B78="",C78=""),COUNTIFS(评分明细!$E:$E,A78,评分明细!$X:$X,"&lt;&gt;"),IF(C78="",COUNTIFS(评分明细!$E:$E,A78,评分明细!$D:$D,B78,评分明细!$X:$X,"&lt;&gt;"),IF(B78="",COUNTIFS(评分明细!$E:$E,A78,评分明细!$C:$C,C78,评分明细!$X:$X,"&lt;&gt;"),COUNTIFS(评分明细!$E:$E,A78,评分明细!$D:$D,B78,评分明细!$C:$C,C78,评分明细!$X:$X,"&lt;&gt;")))))</f>
        <v>0</v>
      </c>
      <c r="E78">
        <f>IF(D78=0,"",IF(AND(B78="",C78=""),ROUND(AVERAGEIFS(评分明细!$X:$X,评分明细!$E:$E,A78,评分明细!$X:$X,"&lt;&gt;"),1),IF(C78="",ROUND(AVERAGEIFS(评分明细!$X:$X,评分明细!$E:$E,A78,评分明细!$D:$D,B78,评分明细!$X:$X,"&lt;&gt;"),1),IF(B78="",ROUND(AVERAGEIFS(评分明细!$X:$X,评分明细!$E:$E,A78,评分明细!$C:$C,C78,评分明细!$X:$X,"&lt;&gt;"),1),ROUND(AVERAGEIFS(评分明细!$X:$X,评分明细!$E:$E,A78,评分明细!$D:$D,B78,评分明细!$C:$C,C78,评分明细!$X:$X,"&lt;&gt;"),1)))))</f>
        <v>0</v>
      </c>
      <c r="F78">
        <f t="shared" si="2"/>
        <v>0</v>
      </c>
      <c r="G78">
        <f>IF(D78=0,"",IF(AND(B78="",C78=""),COUNTIFS(评分明细!$E:$E,A78,评分明细!$X:$X,"&gt;=60"),IF(C78="",COUNTIFS(评分明细!$E:$E,A78,评分明细!$D:$D,B78,评分明细!$X:$X,"&gt;=60"),IF(B78="",COUNTIFS(评分明细!$E:$E,A78,评分明细!$C:$C,C78,评分明细!$X:$X,"&gt;=60"),COUNTIFS(评分明细!$E:$E,A78,评分明细!$D:$D,B78,评分明细!$C:$C,C78,评分明细!$X:$X,"&gt;=60")))))</f>
        <v>0</v>
      </c>
      <c r="H78">
        <f>IF(D78=0,"",IF(AND(B78="",C78=""),COUNTIFS(评分明细!$E:$E,A78,评分明细!$X:$X,"&gt;=80"),IF(C78="",COUNTIFS(评分明细!$E:$E,A78,评分明细!$D:$D,B78,评分明细!$X:$X,"&gt;=80"),IF(B78="",COUNTIFS(评分明细!$E:$E,A78,评分明细!$C:$C,C78,评分明细!$X:$X,"&gt;=80"),COUNTIFS(评分明细!$E:$E,A78,评分明细!$D:$D,B78,评分明细!$C:$C,C78,评分明细!$X:$X,"&gt;=80")))))</f>
        <v>0</v>
      </c>
    </row>
    <row r="79" spans="4:8">
      <c r="D79">
        <f>IF(A79="","",IF(AND(B79="",C79=""),COUNTIFS(评分明细!$E:$E,A79,评分明细!$X:$X,"&lt;&gt;"),IF(C79="",COUNTIFS(评分明细!$E:$E,A79,评分明细!$D:$D,B79,评分明细!$X:$X,"&lt;&gt;"),IF(B79="",COUNTIFS(评分明细!$E:$E,A79,评分明细!$C:$C,C79,评分明细!$X:$X,"&lt;&gt;"),COUNTIFS(评分明细!$E:$E,A79,评分明细!$D:$D,B79,评分明细!$C:$C,C79,评分明细!$X:$X,"&lt;&gt;")))))</f>
        <v>0</v>
      </c>
      <c r="E79">
        <f>IF(D79=0,"",IF(AND(B79="",C79=""),ROUND(AVERAGEIFS(评分明细!$X:$X,评分明细!$E:$E,A79,评分明细!$X:$X,"&lt;&gt;"),1),IF(C79="",ROUND(AVERAGEIFS(评分明细!$X:$X,评分明细!$E:$E,A79,评分明细!$D:$D,B79,评分明细!$X:$X,"&lt;&gt;"),1),IF(B79="",ROUND(AVERAGEIFS(评分明细!$X:$X,评分明细!$E:$E,A79,评分明细!$C:$C,C79,评分明细!$X:$X,"&lt;&gt;"),1),ROUND(AVERAGEIFS(评分明细!$X:$X,评分明细!$E:$E,A79,评分明细!$D:$D,B79,评分明细!$C:$C,C79,评分明细!$X:$X,"&lt;&gt;"),1)))))</f>
        <v>0</v>
      </c>
      <c r="F79">
        <f t="shared" si="2"/>
        <v>0</v>
      </c>
      <c r="G79">
        <f>IF(D79=0,"",IF(AND(B79="",C79=""),COUNTIFS(评分明细!$E:$E,A79,评分明细!$X:$X,"&gt;=60"),IF(C79="",COUNTIFS(评分明细!$E:$E,A79,评分明细!$D:$D,B79,评分明细!$X:$X,"&gt;=60"),IF(B79="",COUNTIFS(评分明细!$E:$E,A79,评分明细!$C:$C,C79,评分明细!$X:$X,"&gt;=60"),COUNTIFS(评分明细!$E:$E,A79,评分明细!$D:$D,B79,评分明细!$C:$C,C79,评分明细!$X:$X,"&gt;=60")))))</f>
        <v>0</v>
      </c>
      <c r="H79">
        <f>IF(D79=0,"",IF(AND(B79="",C79=""),COUNTIFS(评分明细!$E:$E,A79,评分明细!$X:$X,"&gt;=80"),IF(C79="",COUNTIFS(评分明细!$E:$E,A79,评分明细!$D:$D,B79,评分明细!$X:$X,"&gt;=80"),IF(B79="",COUNTIFS(评分明细!$E:$E,A79,评分明细!$C:$C,C79,评分明细!$X:$X,"&gt;=80"),COUNTIFS(评分明细!$E:$E,A79,评分明细!$D:$D,B79,评分明细!$C:$C,C79,评分明细!$X:$X,"&gt;=80")))))</f>
        <v>0</v>
      </c>
    </row>
    <row r="80" spans="4:8">
      <c r="D80">
        <f>IF(A80="","",IF(AND(B80="",C80=""),COUNTIFS(评分明细!$E:$E,A80,评分明细!$X:$X,"&lt;&gt;"),IF(C80="",COUNTIFS(评分明细!$E:$E,A80,评分明细!$D:$D,B80,评分明细!$X:$X,"&lt;&gt;"),IF(B80="",COUNTIFS(评分明细!$E:$E,A80,评分明细!$C:$C,C80,评分明细!$X:$X,"&lt;&gt;"),COUNTIFS(评分明细!$E:$E,A80,评分明细!$D:$D,B80,评分明细!$C:$C,C80,评分明细!$X:$X,"&lt;&gt;")))))</f>
        <v>0</v>
      </c>
      <c r="E80">
        <f>IF(D80=0,"",IF(AND(B80="",C80=""),ROUND(AVERAGEIFS(评分明细!$X:$X,评分明细!$E:$E,A80,评分明细!$X:$X,"&lt;&gt;"),1),IF(C80="",ROUND(AVERAGEIFS(评分明细!$X:$X,评分明细!$E:$E,A80,评分明细!$D:$D,B80,评分明细!$X:$X,"&lt;&gt;"),1),IF(B80="",ROUND(AVERAGEIFS(评分明细!$X:$X,评分明细!$E:$E,A80,评分明细!$C:$C,C80,评分明细!$X:$X,"&lt;&gt;"),1),ROUND(AVERAGEIFS(评分明细!$X:$X,评分明细!$E:$E,A80,评分明细!$D:$D,B80,评分明细!$C:$C,C80,评分明细!$X:$X,"&lt;&gt;"),1)))))</f>
        <v>0</v>
      </c>
      <c r="F80">
        <f t="shared" si="2"/>
        <v>0</v>
      </c>
      <c r="G80">
        <f>IF(D80=0,"",IF(AND(B80="",C80=""),COUNTIFS(评分明细!$E:$E,A80,评分明细!$X:$X,"&gt;=60"),IF(C80="",COUNTIFS(评分明细!$E:$E,A80,评分明细!$D:$D,B80,评分明细!$X:$X,"&gt;=60"),IF(B80="",COUNTIFS(评分明细!$E:$E,A80,评分明细!$C:$C,C80,评分明细!$X:$X,"&gt;=60"),COUNTIFS(评分明细!$E:$E,A80,评分明细!$D:$D,B80,评分明细!$C:$C,C80,评分明细!$X:$X,"&gt;=60")))))</f>
        <v>0</v>
      </c>
      <c r="H80">
        <f>IF(D80=0,"",IF(AND(B80="",C80=""),COUNTIFS(评分明细!$E:$E,A80,评分明细!$X:$X,"&gt;=80"),IF(C80="",COUNTIFS(评分明细!$E:$E,A80,评分明细!$D:$D,B80,评分明细!$X:$X,"&gt;=80"),IF(B80="",COUNTIFS(评分明细!$E:$E,A80,评分明细!$C:$C,C80,评分明细!$X:$X,"&gt;=80"),COUNTIFS(评分明细!$E:$E,A80,评分明细!$D:$D,B80,评分明细!$C:$C,C80,评分明细!$X:$X,"&gt;=80")))))</f>
        <v>0</v>
      </c>
    </row>
    <row r="81" spans="4:8">
      <c r="D81">
        <f>IF(A81="","",IF(AND(B81="",C81=""),COUNTIFS(评分明细!$E:$E,A81,评分明细!$X:$X,"&lt;&gt;"),IF(C81="",COUNTIFS(评分明细!$E:$E,A81,评分明细!$D:$D,B81,评分明细!$X:$X,"&lt;&gt;"),IF(B81="",COUNTIFS(评分明细!$E:$E,A81,评分明细!$C:$C,C81,评分明细!$X:$X,"&lt;&gt;"),COUNTIFS(评分明细!$E:$E,A81,评分明细!$D:$D,B81,评分明细!$C:$C,C81,评分明细!$X:$X,"&lt;&gt;")))))</f>
        <v>0</v>
      </c>
      <c r="E81">
        <f>IF(D81=0,"",IF(AND(B81="",C81=""),ROUND(AVERAGEIFS(评分明细!$X:$X,评分明细!$E:$E,A81,评分明细!$X:$X,"&lt;&gt;"),1),IF(C81="",ROUND(AVERAGEIFS(评分明细!$X:$X,评分明细!$E:$E,A81,评分明细!$D:$D,B81,评分明细!$X:$X,"&lt;&gt;"),1),IF(B81="",ROUND(AVERAGEIFS(评分明细!$X:$X,评分明细!$E:$E,A81,评分明细!$C:$C,C81,评分明细!$X:$X,"&lt;&gt;"),1),ROUND(AVERAGEIFS(评分明细!$X:$X,评分明细!$E:$E,A81,评分明细!$D:$D,B81,评分明细!$C:$C,C81,评分明细!$X:$X,"&lt;&gt;"),1)))))</f>
        <v>0</v>
      </c>
      <c r="F81">
        <f t="shared" si="2"/>
        <v>0</v>
      </c>
      <c r="G81">
        <f>IF(D81=0,"",IF(AND(B81="",C81=""),COUNTIFS(评分明细!$E:$E,A81,评分明细!$X:$X,"&gt;=60"),IF(C81="",COUNTIFS(评分明细!$E:$E,A81,评分明细!$D:$D,B81,评分明细!$X:$X,"&gt;=60"),IF(B81="",COUNTIFS(评分明细!$E:$E,A81,评分明细!$C:$C,C81,评分明细!$X:$X,"&gt;=60"),COUNTIFS(评分明细!$E:$E,A81,评分明细!$D:$D,B81,评分明细!$C:$C,C81,评分明细!$X:$X,"&gt;=60")))))</f>
        <v>0</v>
      </c>
      <c r="H81">
        <f>IF(D81=0,"",IF(AND(B81="",C81=""),COUNTIFS(评分明细!$E:$E,A81,评分明细!$X:$X,"&gt;=80"),IF(C81="",COUNTIFS(评分明细!$E:$E,A81,评分明细!$D:$D,B81,评分明细!$X:$X,"&gt;=80"),IF(B81="",COUNTIFS(评分明细!$E:$E,A81,评分明细!$C:$C,C81,评分明细!$X:$X,"&gt;=80"),COUNTIFS(评分明细!$E:$E,A81,评分明细!$D:$D,B81,评分明细!$C:$C,C81,评分明细!$X:$X,"&gt;=80")))))</f>
        <v>0</v>
      </c>
    </row>
    <row r="82" spans="4:8">
      <c r="D82">
        <f>IF(A82="","",IF(AND(B82="",C82=""),COUNTIFS(评分明细!$E:$E,A82,评分明细!$X:$X,"&lt;&gt;"),IF(C82="",COUNTIFS(评分明细!$E:$E,A82,评分明细!$D:$D,B82,评分明细!$X:$X,"&lt;&gt;"),IF(B82="",COUNTIFS(评分明细!$E:$E,A82,评分明细!$C:$C,C82,评分明细!$X:$X,"&lt;&gt;"),COUNTIFS(评分明细!$E:$E,A82,评分明细!$D:$D,B82,评分明细!$C:$C,C82,评分明细!$X:$X,"&lt;&gt;")))))</f>
        <v>0</v>
      </c>
      <c r="E82">
        <f>IF(D82=0,"",IF(AND(B82="",C82=""),ROUND(AVERAGEIFS(评分明细!$X:$X,评分明细!$E:$E,A82,评分明细!$X:$X,"&lt;&gt;"),1),IF(C82="",ROUND(AVERAGEIFS(评分明细!$X:$X,评分明细!$E:$E,A82,评分明细!$D:$D,B82,评分明细!$X:$X,"&lt;&gt;"),1),IF(B82="",ROUND(AVERAGEIFS(评分明细!$X:$X,评分明细!$E:$E,A82,评分明细!$C:$C,C82,评分明细!$X:$X,"&lt;&gt;"),1),ROUND(AVERAGEIFS(评分明细!$X:$X,评分明细!$E:$E,A82,评分明细!$D:$D,B82,评分明细!$C:$C,C82,评分明细!$X:$X,"&lt;&gt;"),1)))))</f>
        <v>0</v>
      </c>
      <c r="F82">
        <f t="shared" si="2"/>
        <v>0</v>
      </c>
      <c r="G82">
        <f>IF(D82=0,"",IF(AND(B82="",C82=""),COUNTIFS(评分明细!$E:$E,A82,评分明细!$X:$X,"&gt;=60"),IF(C82="",COUNTIFS(评分明细!$E:$E,A82,评分明细!$D:$D,B82,评分明细!$X:$X,"&gt;=60"),IF(B82="",COUNTIFS(评分明细!$E:$E,A82,评分明细!$C:$C,C82,评分明细!$X:$X,"&gt;=60"),COUNTIFS(评分明细!$E:$E,A82,评分明细!$D:$D,B82,评分明细!$C:$C,C82,评分明细!$X:$X,"&gt;=60")))))</f>
        <v>0</v>
      </c>
      <c r="H82">
        <f>IF(D82=0,"",IF(AND(B82="",C82=""),COUNTIFS(评分明细!$E:$E,A82,评分明细!$X:$X,"&gt;=80"),IF(C82="",COUNTIFS(评分明细!$E:$E,A82,评分明细!$D:$D,B82,评分明细!$X:$X,"&gt;=80"),IF(B82="",COUNTIFS(评分明细!$E:$E,A82,评分明细!$C:$C,C82,评分明细!$X:$X,"&gt;=80"),COUNTIFS(评分明细!$E:$E,A82,评分明细!$D:$D,B82,评分明细!$C:$C,C82,评分明细!$X:$X,"&gt;=80")))))</f>
        <v>0</v>
      </c>
    </row>
    <row r="83" spans="4:8">
      <c r="D83">
        <f>IF(A83="","",IF(AND(B83="",C83=""),COUNTIFS(评分明细!$E:$E,A83,评分明细!$X:$X,"&lt;&gt;"),IF(C83="",COUNTIFS(评分明细!$E:$E,A83,评分明细!$D:$D,B83,评分明细!$X:$X,"&lt;&gt;"),IF(B83="",COUNTIFS(评分明细!$E:$E,A83,评分明细!$C:$C,C83,评分明细!$X:$X,"&lt;&gt;"),COUNTIFS(评分明细!$E:$E,A83,评分明细!$D:$D,B83,评分明细!$C:$C,C83,评分明细!$X:$X,"&lt;&gt;")))))</f>
        <v>0</v>
      </c>
      <c r="E83">
        <f>IF(D83=0,"",IF(AND(B83="",C83=""),ROUND(AVERAGEIFS(评分明细!$X:$X,评分明细!$E:$E,A83,评分明细!$X:$X,"&lt;&gt;"),1),IF(C83="",ROUND(AVERAGEIFS(评分明细!$X:$X,评分明细!$E:$E,A83,评分明细!$D:$D,B83,评分明细!$X:$X,"&lt;&gt;"),1),IF(B83="",ROUND(AVERAGEIFS(评分明细!$X:$X,评分明细!$E:$E,A83,评分明细!$C:$C,C83,评分明细!$X:$X,"&lt;&gt;"),1),ROUND(AVERAGEIFS(评分明细!$X:$X,评分明细!$E:$E,A83,评分明细!$D:$D,B83,评分明细!$C:$C,C83,评分明细!$X:$X,"&lt;&gt;"),1)))))</f>
        <v>0</v>
      </c>
      <c r="F83">
        <f t="shared" si="2"/>
        <v>0</v>
      </c>
      <c r="G83">
        <f>IF(D83=0,"",IF(AND(B83="",C83=""),COUNTIFS(评分明细!$E:$E,A83,评分明细!$X:$X,"&gt;=60"),IF(C83="",COUNTIFS(评分明细!$E:$E,A83,评分明细!$D:$D,B83,评分明细!$X:$X,"&gt;=60"),IF(B83="",COUNTIFS(评分明细!$E:$E,A83,评分明细!$C:$C,C83,评分明细!$X:$X,"&gt;=60"),COUNTIFS(评分明细!$E:$E,A83,评分明细!$D:$D,B83,评分明细!$C:$C,C83,评分明细!$X:$X,"&gt;=60")))))</f>
        <v>0</v>
      </c>
      <c r="H83">
        <f>IF(D83=0,"",IF(AND(B83="",C83=""),COUNTIFS(评分明细!$E:$E,A83,评分明细!$X:$X,"&gt;=80"),IF(C83="",COUNTIFS(评分明细!$E:$E,A83,评分明细!$D:$D,B83,评分明细!$X:$X,"&gt;=80"),IF(B83="",COUNTIFS(评分明细!$E:$E,A83,评分明细!$C:$C,C83,评分明细!$X:$X,"&gt;=80"),COUNTIFS(评分明细!$E:$E,A83,评分明细!$D:$D,B83,评分明细!$C:$C,C83,评分明细!$X:$X,"&gt;=80")))))</f>
        <v>0</v>
      </c>
    </row>
    <row r="84" spans="4:8">
      <c r="D84">
        <f>IF(A84="","",IF(AND(B84="",C84=""),COUNTIFS(评分明细!$E:$E,A84,评分明细!$X:$X,"&lt;&gt;"),IF(C84="",COUNTIFS(评分明细!$E:$E,A84,评分明细!$D:$D,B84,评分明细!$X:$X,"&lt;&gt;"),IF(B84="",COUNTIFS(评分明细!$E:$E,A84,评分明细!$C:$C,C84,评分明细!$X:$X,"&lt;&gt;"),COUNTIFS(评分明细!$E:$E,A84,评分明细!$D:$D,B84,评分明细!$C:$C,C84,评分明细!$X:$X,"&lt;&gt;")))))</f>
        <v>0</v>
      </c>
      <c r="E84">
        <f>IF(D84=0,"",IF(AND(B84="",C84=""),ROUND(AVERAGEIFS(评分明细!$X:$X,评分明细!$E:$E,A84,评分明细!$X:$X,"&lt;&gt;"),1),IF(C84="",ROUND(AVERAGEIFS(评分明细!$X:$X,评分明细!$E:$E,A84,评分明细!$D:$D,B84,评分明细!$X:$X,"&lt;&gt;"),1),IF(B84="",ROUND(AVERAGEIFS(评分明细!$X:$X,评分明细!$E:$E,A84,评分明细!$C:$C,C84,评分明细!$X:$X,"&lt;&gt;"),1),ROUND(AVERAGEIFS(评分明细!$X:$X,评分明细!$E:$E,A84,评分明细!$D:$D,B84,评分明细!$C:$C,C84,评分明细!$X:$X,"&lt;&gt;"),1)))))</f>
        <v>0</v>
      </c>
      <c r="F84">
        <f t="shared" si="2"/>
        <v>0</v>
      </c>
      <c r="G84">
        <f>IF(D84=0,"",IF(AND(B84="",C84=""),COUNTIFS(评分明细!$E:$E,A84,评分明细!$X:$X,"&gt;=60"),IF(C84="",COUNTIFS(评分明细!$E:$E,A84,评分明细!$D:$D,B84,评分明细!$X:$X,"&gt;=60"),IF(B84="",COUNTIFS(评分明细!$E:$E,A84,评分明细!$C:$C,C84,评分明细!$X:$X,"&gt;=60"),COUNTIFS(评分明细!$E:$E,A84,评分明细!$D:$D,B84,评分明细!$C:$C,C84,评分明细!$X:$X,"&gt;=60")))))</f>
        <v>0</v>
      </c>
      <c r="H84">
        <f>IF(D84=0,"",IF(AND(B84="",C84=""),COUNTIFS(评分明细!$E:$E,A84,评分明细!$X:$X,"&gt;=80"),IF(C84="",COUNTIFS(评分明细!$E:$E,A84,评分明细!$D:$D,B84,评分明细!$X:$X,"&gt;=80"),IF(B84="",COUNTIFS(评分明细!$E:$E,A84,评分明细!$C:$C,C84,评分明细!$X:$X,"&gt;=80"),COUNTIFS(评分明细!$E:$E,A84,评分明细!$D:$D,B84,评分明细!$C:$C,C84,评分明细!$X:$X,"&gt;=80")))))</f>
        <v>0</v>
      </c>
    </row>
    <row r="85" spans="4:8">
      <c r="D85">
        <f>IF(A85="","",IF(AND(B85="",C85=""),COUNTIFS(评分明细!$E:$E,A85,评分明细!$X:$X,"&lt;&gt;"),IF(C85="",COUNTIFS(评分明细!$E:$E,A85,评分明细!$D:$D,B85,评分明细!$X:$X,"&lt;&gt;"),IF(B85="",COUNTIFS(评分明细!$E:$E,A85,评分明细!$C:$C,C85,评分明细!$X:$X,"&lt;&gt;"),COUNTIFS(评分明细!$E:$E,A85,评分明细!$D:$D,B85,评分明细!$C:$C,C85,评分明细!$X:$X,"&lt;&gt;")))))</f>
        <v>0</v>
      </c>
      <c r="E85">
        <f>IF(D85=0,"",IF(AND(B85="",C85=""),ROUND(AVERAGEIFS(评分明细!$X:$X,评分明细!$E:$E,A85,评分明细!$X:$X,"&lt;&gt;"),1),IF(C85="",ROUND(AVERAGEIFS(评分明细!$X:$X,评分明细!$E:$E,A85,评分明细!$D:$D,B85,评分明细!$X:$X,"&lt;&gt;"),1),IF(B85="",ROUND(AVERAGEIFS(评分明细!$X:$X,评分明细!$E:$E,A85,评分明细!$C:$C,C85,评分明细!$X:$X,"&lt;&gt;"),1),ROUND(AVERAGEIFS(评分明细!$X:$X,评分明细!$E:$E,A85,评分明细!$D:$D,B85,评分明细!$C:$C,C85,评分明细!$X:$X,"&lt;&gt;"),1)))))</f>
        <v>0</v>
      </c>
      <c r="F85">
        <f t="shared" si="2"/>
        <v>0</v>
      </c>
      <c r="G85">
        <f>IF(D85=0,"",IF(AND(B85="",C85=""),COUNTIFS(评分明细!$E:$E,A85,评分明细!$X:$X,"&gt;=60"),IF(C85="",COUNTIFS(评分明细!$E:$E,A85,评分明细!$D:$D,B85,评分明细!$X:$X,"&gt;=60"),IF(B85="",COUNTIFS(评分明细!$E:$E,A85,评分明细!$C:$C,C85,评分明细!$X:$X,"&gt;=60"),COUNTIFS(评分明细!$E:$E,A85,评分明细!$D:$D,B85,评分明细!$C:$C,C85,评分明细!$X:$X,"&gt;=60")))))</f>
        <v>0</v>
      </c>
      <c r="H85">
        <f>IF(D85=0,"",IF(AND(B85="",C85=""),COUNTIFS(评分明细!$E:$E,A85,评分明细!$X:$X,"&gt;=80"),IF(C85="",COUNTIFS(评分明细!$E:$E,A85,评分明细!$D:$D,B85,评分明细!$X:$X,"&gt;=80"),IF(B85="",COUNTIFS(评分明细!$E:$E,A85,评分明细!$C:$C,C85,评分明细!$X:$X,"&gt;=80"),COUNTIFS(评分明细!$E:$E,A85,评分明细!$D:$D,B85,评分明细!$C:$C,C85,评分明细!$X:$X,"&gt;=80")))))</f>
        <v>0</v>
      </c>
    </row>
    <row r="86" spans="4:8">
      <c r="D86">
        <f>IF(A86="","",IF(AND(B86="",C86=""),COUNTIFS(评分明细!$E:$E,A86,评分明细!$X:$X,"&lt;&gt;"),IF(C86="",COUNTIFS(评分明细!$E:$E,A86,评分明细!$D:$D,B86,评分明细!$X:$X,"&lt;&gt;"),IF(B86="",COUNTIFS(评分明细!$E:$E,A86,评分明细!$C:$C,C86,评分明细!$X:$X,"&lt;&gt;"),COUNTIFS(评分明细!$E:$E,A86,评分明细!$D:$D,B86,评分明细!$C:$C,C86,评分明细!$X:$X,"&lt;&gt;")))))</f>
        <v>0</v>
      </c>
      <c r="E86">
        <f>IF(D86=0,"",IF(AND(B86="",C86=""),ROUND(AVERAGEIFS(评分明细!$X:$X,评分明细!$E:$E,A86,评分明细!$X:$X,"&lt;&gt;"),1),IF(C86="",ROUND(AVERAGEIFS(评分明细!$X:$X,评分明细!$E:$E,A86,评分明细!$D:$D,B86,评分明细!$X:$X,"&lt;&gt;"),1),IF(B86="",ROUND(AVERAGEIFS(评分明细!$X:$X,评分明细!$E:$E,A86,评分明细!$C:$C,C86,评分明细!$X:$X,"&lt;&gt;"),1),ROUND(AVERAGEIFS(评分明细!$X:$X,评分明细!$E:$E,A86,评分明细!$D:$D,B86,评分明细!$C:$C,C86,评分明细!$X:$X,"&lt;&gt;"),1)))))</f>
        <v>0</v>
      </c>
      <c r="F86">
        <f t="shared" si="2"/>
        <v>0</v>
      </c>
      <c r="G86">
        <f>IF(D86=0,"",IF(AND(B86="",C86=""),COUNTIFS(评分明细!$E:$E,A86,评分明细!$X:$X,"&gt;=60"),IF(C86="",COUNTIFS(评分明细!$E:$E,A86,评分明细!$D:$D,B86,评分明细!$X:$X,"&gt;=60"),IF(B86="",COUNTIFS(评分明细!$E:$E,A86,评分明细!$C:$C,C86,评分明细!$X:$X,"&gt;=60"),COUNTIFS(评分明细!$E:$E,A86,评分明细!$D:$D,B86,评分明细!$C:$C,C86,评分明细!$X:$X,"&gt;=60")))))</f>
        <v>0</v>
      </c>
      <c r="H86">
        <f>IF(D86=0,"",IF(AND(B86="",C86=""),COUNTIFS(评分明细!$E:$E,A86,评分明细!$X:$X,"&gt;=80"),IF(C86="",COUNTIFS(评分明细!$E:$E,A86,评分明细!$D:$D,B86,评分明细!$X:$X,"&gt;=80"),IF(B86="",COUNTIFS(评分明细!$E:$E,A86,评分明细!$C:$C,C86,评分明细!$X:$X,"&gt;=80"),COUNTIFS(评分明细!$E:$E,A86,评分明细!$D:$D,B86,评分明细!$C:$C,C86,评分明细!$X:$X,"&gt;=80")))))</f>
        <v>0</v>
      </c>
    </row>
    <row r="87" spans="4:8">
      <c r="D87">
        <f>IF(A87="","",IF(AND(B87="",C87=""),COUNTIFS(评分明细!$E:$E,A87,评分明细!$X:$X,"&lt;&gt;"),IF(C87="",COUNTIFS(评分明细!$E:$E,A87,评分明细!$D:$D,B87,评分明细!$X:$X,"&lt;&gt;"),IF(B87="",COUNTIFS(评分明细!$E:$E,A87,评分明细!$C:$C,C87,评分明细!$X:$X,"&lt;&gt;"),COUNTIFS(评分明细!$E:$E,A87,评分明细!$D:$D,B87,评分明细!$C:$C,C87,评分明细!$X:$X,"&lt;&gt;")))))</f>
        <v>0</v>
      </c>
      <c r="E87">
        <f>IF(D87=0,"",IF(AND(B87="",C87=""),ROUND(AVERAGEIFS(评分明细!$X:$X,评分明细!$E:$E,A87,评分明细!$X:$X,"&lt;&gt;"),1),IF(C87="",ROUND(AVERAGEIFS(评分明细!$X:$X,评分明细!$E:$E,A87,评分明细!$D:$D,B87,评分明细!$X:$X,"&lt;&gt;"),1),IF(B87="",ROUND(AVERAGEIFS(评分明细!$X:$X,评分明细!$E:$E,A87,评分明细!$C:$C,C87,评分明细!$X:$X,"&lt;&gt;"),1),ROUND(AVERAGEIFS(评分明细!$X:$X,评分明细!$E:$E,A87,评分明细!$D:$D,B87,评分明细!$C:$C,C87,评分明细!$X:$X,"&lt;&gt;"),1)))))</f>
        <v>0</v>
      </c>
      <c r="F87">
        <f t="shared" si="2"/>
        <v>0</v>
      </c>
      <c r="G87">
        <f>IF(D87=0,"",IF(AND(B87="",C87=""),COUNTIFS(评分明细!$E:$E,A87,评分明细!$X:$X,"&gt;=60"),IF(C87="",COUNTIFS(评分明细!$E:$E,A87,评分明细!$D:$D,B87,评分明细!$X:$X,"&gt;=60"),IF(B87="",COUNTIFS(评分明细!$E:$E,A87,评分明细!$C:$C,C87,评分明细!$X:$X,"&gt;=60"),COUNTIFS(评分明细!$E:$E,A87,评分明细!$D:$D,B87,评分明细!$C:$C,C87,评分明细!$X:$X,"&gt;=60")))))</f>
        <v>0</v>
      </c>
      <c r="H87">
        <f>IF(D87=0,"",IF(AND(B87="",C87=""),COUNTIFS(评分明细!$E:$E,A87,评分明细!$X:$X,"&gt;=80"),IF(C87="",COUNTIFS(评分明细!$E:$E,A87,评分明细!$D:$D,B87,评分明细!$X:$X,"&gt;=80"),IF(B87="",COUNTIFS(评分明细!$E:$E,A87,评分明细!$C:$C,C87,评分明细!$X:$X,"&gt;=80"),COUNTIFS(评分明细!$E:$E,A87,评分明细!$D:$D,B87,评分明细!$C:$C,C87,评分明细!$X:$X,"&gt;=80")))))</f>
        <v>0</v>
      </c>
    </row>
    <row r="88" spans="4:8">
      <c r="D88">
        <f>IF(A88="","",IF(AND(B88="",C88=""),COUNTIFS(评分明细!$E:$E,A88,评分明细!$X:$X,"&lt;&gt;"),IF(C88="",COUNTIFS(评分明细!$E:$E,A88,评分明细!$D:$D,B88,评分明细!$X:$X,"&lt;&gt;"),IF(B88="",COUNTIFS(评分明细!$E:$E,A88,评分明细!$C:$C,C88,评分明细!$X:$X,"&lt;&gt;"),COUNTIFS(评分明细!$E:$E,A88,评分明细!$D:$D,B88,评分明细!$C:$C,C88,评分明细!$X:$X,"&lt;&gt;")))))</f>
        <v>0</v>
      </c>
      <c r="E88">
        <f>IF(D88=0,"",IF(AND(B88="",C88=""),ROUND(AVERAGEIFS(评分明细!$X:$X,评分明细!$E:$E,A88,评分明细!$X:$X,"&lt;&gt;"),1),IF(C88="",ROUND(AVERAGEIFS(评分明细!$X:$X,评分明细!$E:$E,A88,评分明细!$D:$D,B88,评分明细!$X:$X,"&lt;&gt;"),1),IF(B88="",ROUND(AVERAGEIFS(评分明细!$X:$X,评分明细!$E:$E,A88,评分明细!$C:$C,C88,评分明细!$X:$X,"&lt;&gt;"),1),ROUND(AVERAGEIFS(评分明细!$X:$X,评分明细!$E:$E,A88,评分明细!$D:$D,B88,评分明细!$C:$C,C88,评分明细!$X:$X,"&lt;&gt;"),1)))))</f>
        <v>0</v>
      </c>
      <c r="F88">
        <f t="shared" si="2"/>
        <v>0</v>
      </c>
      <c r="G88">
        <f>IF(D88=0,"",IF(AND(B88="",C88=""),COUNTIFS(评分明细!$E:$E,A88,评分明细!$X:$X,"&gt;=60"),IF(C88="",COUNTIFS(评分明细!$E:$E,A88,评分明细!$D:$D,B88,评分明细!$X:$X,"&gt;=60"),IF(B88="",COUNTIFS(评分明细!$E:$E,A88,评分明细!$C:$C,C88,评分明细!$X:$X,"&gt;=60"),COUNTIFS(评分明细!$E:$E,A88,评分明细!$D:$D,B88,评分明细!$C:$C,C88,评分明细!$X:$X,"&gt;=60")))))</f>
        <v>0</v>
      </c>
      <c r="H88">
        <f>IF(D88=0,"",IF(AND(B88="",C88=""),COUNTIFS(评分明细!$E:$E,A88,评分明细!$X:$X,"&gt;=80"),IF(C88="",COUNTIFS(评分明细!$E:$E,A88,评分明细!$D:$D,B88,评分明细!$X:$X,"&gt;=80"),IF(B88="",COUNTIFS(评分明细!$E:$E,A88,评分明细!$C:$C,C88,评分明细!$X:$X,"&gt;=80"),COUNTIFS(评分明细!$E:$E,A88,评分明细!$D:$D,B88,评分明细!$C:$C,C88,评分明细!$X:$X,"&gt;=80")))))</f>
        <v>0</v>
      </c>
    </row>
    <row r="89" spans="4:8">
      <c r="D89">
        <f>IF(A89="","",IF(AND(B89="",C89=""),COUNTIFS(评分明细!$E:$E,A89,评分明细!$X:$X,"&lt;&gt;"),IF(C89="",COUNTIFS(评分明细!$E:$E,A89,评分明细!$D:$D,B89,评分明细!$X:$X,"&lt;&gt;"),IF(B89="",COUNTIFS(评分明细!$E:$E,A89,评分明细!$C:$C,C89,评分明细!$X:$X,"&lt;&gt;"),COUNTIFS(评分明细!$E:$E,A89,评分明细!$D:$D,B89,评分明细!$C:$C,C89,评分明细!$X:$X,"&lt;&gt;")))))</f>
        <v>0</v>
      </c>
      <c r="E89">
        <f>IF(D89=0,"",IF(AND(B89="",C89=""),ROUND(AVERAGEIFS(评分明细!$X:$X,评分明细!$E:$E,A89,评分明细!$X:$X,"&lt;&gt;"),1),IF(C89="",ROUND(AVERAGEIFS(评分明细!$X:$X,评分明细!$E:$E,A89,评分明细!$D:$D,B89,评分明细!$X:$X,"&lt;&gt;"),1),IF(B89="",ROUND(AVERAGEIFS(评分明细!$X:$X,评分明细!$E:$E,A89,评分明细!$C:$C,C89,评分明细!$X:$X,"&lt;&gt;"),1),ROUND(AVERAGEIFS(评分明细!$X:$X,评分明细!$E:$E,A89,评分明细!$D:$D,B89,评分明细!$C:$C,C89,评分明细!$X:$X,"&lt;&gt;"),1)))))</f>
        <v>0</v>
      </c>
      <c r="F89">
        <f t="shared" si="2"/>
        <v>0</v>
      </c>
      <c r="G89">
        <f>IF(D89=0,"",IF(AND(B89="",C89=""),COUNTIFS(评分明细!$E:$E,A89,评分明细!$X:$X,"&gt;=60"),IF(C89="",COUNTIFS(评分明细!$E:$E,A89,评分明细!$D:$D,B89,评分明细!$X:$X,"&gt;=60"),IF(B89="",COUNTIFS(评分明细!$E:$E,A89,评分明细!$C:$C,C89,评分明细!$X:$X,"&gt;=60"),COUNTIFS(评分明细!$E:$E,A89,评分明细!$D:$D,B89,评分明细!$C:$C,C89,评分明细!$X:$X,"&gt;=60")))))</f>
        <v>0</v>
      </c>
      <c r="H89">
        <f>IF(D89=0,"",IF(AND(B89="",C89=""),COUNTIFS(评分明细!$E:$E,A89,评分明细!$X:$X,"&gt;=80"),IF(C89="",COUNTIFS(评分明细!$E:$E,A89,评分明细!$D:$D,B89,评分明细!$X:$X,"&gt;=80"),IF(B89="",COUNTIFS(评分明细!$E:$E,A89,评分明细!$C:$C,C89,评分明细!$X:$X,"&gt;=80"),COUNTIFS(评分明细!$E:$E,A89,评分明细!$D:$D,B89,评分明细!$C:$C,C89,评分明细!$X:$X,"&gt;=80")))))</f>
        <v>0</v>
      </c>
    </row>
    <row r="90" spans="4:8">
      <c r="D90">
        <f>IF(A90="","",IF(AND(B90="",C90=""),COUNTIFS(评分明细!$E:$E,A90,评分明细!$X:$X,"&lt;&gt;"),IF(C90="",COUNTIFS(评分明细!$E:$E,A90,评分明细!$D:$D,B90,评分明细!$X:$X,"&lt;&gt;"),IF(B90="",COUNTIFS(评分明细!$E:$E,A90,评分明细!$C:$C,C90,评分明细!$X:$X,"&lt;&gt;"),COUNTIFS(评分明细!$E:$E,A90,评分明细!$D:$D,B90,评分明细!$C:$C,C90,评分明细!$X:$X,"&lt;&gt;")))))</f>
        <v>0</v>
      </c>
      <c r="E90">
        <f>IF(D90=0,"",IF(AND(B90="",C90=""),ROUND(AVERAGEIFS(评分明细!$X:$X,评分明细!$E:$E,A90,评分明细!$X:$X,"&lt;&gt;"),1),IF(C90="",ROUND(AVERAGEIFS(评分明细!$X:$X,评分明细!$E:$E,A90,评分明细!$D:$D,B90,评分明细!$X:$X,"&lt;&gt;"),1),IF(B90="",ROUND(AVERAGEIFS(评分明细!$X:$X,评分明细!$E:$E,A90,评分明细!$C:$C,C90,评分明细!$X:$X,"&lt;&gt;"),1),ROUND(AVERAGEIFS(评分明细!$X:$X,评分明细!$E:$E,A90,评分明细!$D:$D,B90,评分明细!$C:$C,C90,评分明细!$X:$X,"&lt;&gt;"),1)))))</f>
        <v>0</v>
      </c>
      <c r="F90">
        <f t="shared" si="2"/>
        <v>0</v>
      </c>
      <c r="G90">
        <f>IF(D90=0,"",IF(AND(B90="",C90=""),COUNTIFS(评分明细!$E:$E,A90,评分明细!$X:$X,"&gt;=60"),IF(C90="",COUNTIFS(评分明细!$E:$E,A90,评分明细!$D:$D,B90,评分明细!$X:$X,"&gt;=60"),IF(B90="",COUNTIFS(评分明细!$E:$E,A90,评分明细!$C:$C,C90,评分明细!$X:$X,"&gt;=60"),COUNTIFS(评分明细!$E:$E,A90,评分明细!$D:$D,B90,评分明细!$C:$C,C90,评分明细!$X:$X,"&gt;=60")))))</f>
        <v>0</v>
      </c>
      <c r="H90">
        <f>IF(D90=0,"",IF(AND(B90="",C90=""),COUNTIFS(评分明细!$E:$E,A90,评分明细!$X:$X,"&gt;=80"),IF(C90="",COUNTIFS(评分明细!$E:$E,A90,评分明细!$D:$D,B90,评分明细!$X:$X,"&gt;=80"),IF(B90="",COUNTIFS(评分明细!$E:$E,A90,评分明细!$C:$C,C90,评分明细!$X:$X,"&gt;=80"),COUNTIFS(评分明细!$E:$E,A90,评分明细!$D:$D,B90,评分明细!$C:$C,C90,评分明细!$X:$X,"&gt;=80")))))</f>
        <v>0</v>
      </c>
    </row>
    <row r="91" spans="4:8">
      <c r="D91">
        <f>IF(A91="","",IF(AND(B91="",C91=""),COUNTIFS(评分明细!$E:$E,A91,评分明细!$X:$X,"&lt;&gt;"),IF(C91="",COUNTIFS(评分明细!$E:$E,A91,评分明细!$D:$D,B91,评分明细!$X:$X,"&lt;&gt;"),IF(B91="",COUNTIFS(评分明细!$E:$E,A91,评分明细!$C:$C,C91,评分明细!$X:$X,"&lt;&gt;"),COUNTIFS(评分明细!$E:$E,A91,评分明细!$D:$D,B91,评分明细!$C:$C,C91,评分明细!$X:$X,"&lt;&gt;")))))</f>
        <v>0</v>
      </c>
      <c r="E91">
        <f>IF(D91=0,"",IF(AND(B91="",C91=""),ROUND(AVERAGEIFS(评分明细!$X:$X,评分明细!$E:$E,A91,评分明细!$X:$X,"&lt;&gt;"),1),IF(C91="",ROUND(AVERAGEIFS(评分明细!$X:$X,评分明细!$E:$E,A91,评分明细!$D:$D,B91,评分明细!$X:$X,"&lt;&gt;"),1),IF(B91="",ROUND(AVERAGEIFS(评分明细!$X:$X,评分明细!$E:$E,A91,评分明细!$C:$C,C91,评分明细!$X:$X,"&lt;&gt;"),1),ROUND(AVERAGEIFS(评分明细!$X:$X,评分明细!$E:$E,A91,评分明细!$D:$D,B91,评分明细!$C:$C,C91,评分明细!$X:$X,"&lt;&gt;"),1)))))</f>
        <v>0</v>
      </c>
      <c r="F91">
        <f t="shared" si="2"/>
        <v>0</v>
      </c>
      <c r="G91">
        <f>IF(D91=0,"",IF(AND(B91="",C91=""),COUNTIFS(评分明细!$E:$E,A91,评分明细!$X:$X,"&gt;=60"),IF(C91="",COUNTIFS(评分明细!$E:$E,A91,评分明细!$D:$D,B91,评分明细!$X:$X,"&gt;=60"),IF(B91="",COUNTIFS(评分明细!$E:$E,A91,评分明细!$C:$C,C91,评分明细!$X:$X,"&gt;=60"),COUNTIFS(评分明细!$E:$E,A91,评分明细!$D:$D,B91,评分明细!$C:$C,C91,评分明细!$X:$X,"&gt;=60")))))</f>
        <v>0</v>
      </c>
      <c r="H91">
        <f>IF(D91=0,"",IF(AND(B91="",C91=""),COUNTIFS(评分明细!$E:$E,A91,评分明细!$X:$X,"&gt;=80"),IF(C91="",COUNTIFS(评分明细!$E:$E,A91,评分明细!$D:$D,B91,评分明细!$X:$X,"&gt;=80"),IF(B91="",COUNTIFS(评分明细!$E:$E,A91,评分明细!$C:$C,C91,评分明细!$X:$X,"&gt;=80"),COUNTIFS(评分明细!$E:$E,A91,评分明细!$D:$D,B91,评分明细!$C:$C,C91,评分明细!$X:$X,"&gt;=80")))))</f>
        <v>0</v>
      </c>
    </row>
    <row r="92" spans="4:8">
      <c r="D92">
        <f>IF(A92="","",IF(AND(B92="",C92=""),COUNTIFS(评分明细!$E:$E,A92,评分明细!$X:$X,"&lt;&gt;"),IF(C92="",COUNTIFS(评分明细!$E:$E,A92,评分明细!$D:$D,B92,评分明细!$X:$X,"&lt;&gt;"),IF(B92="",COUNTIFS(评分明细!$E:$E,A92,评分明细!$C:$C,C92,评分明细!$X:$X,"&lt;&gt;"),COUNTIFS(评分明细!$E:$E,A92,评分明细!$D:$D,B92,评分明细!$C:$C,C92,评分明细!$X:$X,"&lt;&gt;")))))</f>
        <v>0</v>
      </c>
      <c r="E92">
        <f>IF(D92=0,"",IF(AND(B92="",C92=""),ROUND(AVERAGEIFS(评分明细!$X:$X,评分明细!$E:$E,A92,评分明细!$X:$X,"&lt;&gt;"),1),IF(C92="",ROUND(AVERAGEIFS(评分明细!$X:$X,评分明细!$E:$E,A92,评分明细!$D:$D,B92,评分明细!$X:$X,"&lt;&gt;"),1),IF(B92="",ROUND(AVERAGEIFS(评分明细!$X:$X,评分明细!$E:$E,A92,评分明细!$C:$C,C92,评分明细!$X:$X,"&lt;&gt;"),1),ROUND(AVERAGEIFS(评分明细!$X:$X,评分明细!$E:$E,A92,评分明细!$D:$D,B92,评分明细!$C:$C,C92,评分明细!$X:$X,"&lt;&gt;"),1)))))</f>
        <v>0</v>
      </c>
      <c r="F92">
        <f t="shared" si="2"/>
        <v>0</v>
      </c>
      <c r="G92">
        <f>IF(D92=0,"",IF(AND(B92="",C92=""),COUNTIFS(评分明细!$E:$E,A92,评分明细!$X:$X,"&gt;=60"),IF(C92="",COUNTIFS(评分明细!$E:$E,A92,评分明细!$D:$D,B92,评分明细!$X:$X,"&gt;=60"),IF(B92="",COUNTIFS(评分明细!$E:$E,A92,评分明细!$C:$C,C92,评分明细!$X:$X,"&gt;=60"),COUNTIFS(评分明细!$E:$E,A92,评分明细!$D:$D,B92,评分明细!$C:$C,C92,评分明细!$X:$X,"&gt;=60")))))</f>
        <v>0</v>
      </c>
      <c r="H92">
        <f>IF(D92=0,"",IF(AND(B92="",C92=""),COUNTIFS(评分明细!$E:$E,A92,评分明细!$X:$X,"&gt;=80"),IF(C92="",COUNTIFS(评分明细!$E:$E,A92,评分明细!$D:$D,B92,评分明细!$X:$X,"&gt;=80"),IF(B92="",COUNTIFS(评分明细!$E:$E,A92,评分明细!$C:$C,C92,评分明细!$X:$X,"&gt;=80"),COUNTIFS(评分明细!$E:$E,A92,评分明细!$D:$D,B92,评分明细!$C:$C,C92,评分明细!$X:$X,"&gt;=80")))))</f>
        <v>0</v>
      </c>
    </row>
    <row r="93" spans="4:8">
      <c r="D93">
        <f>IF(A93="","",IF(AND(B93="",C93=""),COUNTIFS(评分明细!$E:$E,A93,评分明细!$X:$X,"&lt;&gt;"),IF(C93="",COUNTIFS(评分明细!$E:$E,A93,评分明细!$D:$D,B93,评分明细!$X:$X,"&lt;&gt;"),IF(B93="",COUNTIFS(评分明细!$E:$E,A93,评分明细!$C:$C,C93,评分明细!$X:$X,"&lt;&gt;"),COUNTIFS(评分明细!$E:$E,A93,评分明细!$D:$D,B93,评分明细!$C:$C,C93,评分明细!$X:$X,"&lt;&gt;")))))</f>
        <v>0</v>
      </c>
      <c r="E93">
        <f>IF(D93=0,"",IF(AND(B93="",C93=""),ROUND(AVERAGEIFS(评分明细!$X:$X,评分明细!$E:$E,A93,评分明细!$X:$X,"&lt;&gt;"),1),IF(C93="",ROUND(AVERAGEIFS(评分明细!$X:$X,评分明细!$E:$E,A93,评分明细!$D:$D,B93,评分明细!$X:$X,"&lt;&gt;"),1),IF(B93="",ROUND(AVERAGEIFS(评分明细!$X:$X,评分明细!$E:$E,A93,评分明细!$C:$C,C93,评分明细!$X:$X,"&lt;&gt;"),1),ROUND(AVERAGEIFS(评分明细!$X:$X,评分明细!$E:$E,A93,评分明细!$D:$D,B93,评分明细!$C:$C,C93,评分明细!$X:$X,"&lt;&gt;"),1)))))</f>
        <v>0</v>
      </c>
      <c r="F93">
        <f t="shared" si="2"/>
        <v>0</v>
      </c>
      <c r="G93">
        <f>IF(D93=0,"",IF(AND(B93="",C93=""),COUNTIFS(评分明细!$E:$E,A93,评分明细!$X:$X,"&gt;=60"),IF(C93="",COUNTIFS(评分明细!$E:$E,A93,评分明细!$D:$D,B93,评分明细!$X:$X,"&gt;=60"),IF(B93="",COUNTIFS(评分明细!$E:$E,A93,评分明细!$C:$C,C93,评分明细!$X:$X,"&gt;=60"),COUNTIFS(评分明细!$E:$E,A93,评分明细!$D:$D,B93,评分明细!$C:$C,C93,评分明细!$X:$X,"&gt;=60")))))</f>
        <v>0</v>
      </c>
      <c r="H93">
        <f>IF(D93=0,"",IF(AND(B93="",C93=""),COUNTIFS(评分明细!$E:$E,A93,评分明细!$X:$X,"&gt;=80"),IF(C93="",COUNTIFS(评分明细!$E:$E,A93,评分明细!$D:$D,B93,评分明细!$X:$X,"&gt;=80"),IF(B93="",COUNTIFS(评分明细!$E:$E,A93,评分明细!$C:$C,C93,评分明细!$X:$X,"&gt;=80"),COUNTIFS(评分明细!$E:$E,A93,评分明细!$D:$D,B93,评分明细!$C:$C,C93,评分明细!$X:$X,"&gt;=80")))))</f>
        <v>0</v>
      </c>
    </row>
    <row r="94" spans="4:8">
      <c r="D94">
        <f>IF(A94="","",IF(AND(B94="",C94=""),COUNTIFS(评分明细!$E:$E,A94,评分明细!$X:$X,"&lt;&gt;"),IF(C94="",COUNTIFS(评分明细!$E:$E,A94,评分明细!$D:$D,B94,评分明细!$X:$X,"&lt;&gt;"),IF(B94="",COUNTIFS(评分明细!$E:$E,A94,评分明细!$C:$C,C94,评分明细!$X:$X,"&lt;&gt;"),COUNTIFS(评分明细!$E:$E,A94,评分明细!$D:$D,B94,评分明细!$C:$C,C94,评分明细!$X:$X,"&lt;&gt;")))))</f>
        <v>0</v>
      </c>
      <c r="E94">
        <f>IF(D94=0,"",IF(AND(B94="",C94=""),ROUND(AVERAGEIFS(评分明细!$X:$X,评分明细!$E:$E,A94,评分明细!$X:$X,"&lt;&gt;"),1),IF(C94="",ROUND(AVERAGEIFS(评分明细!$X:$X,评分明细!$E:$E,A94,评分明细!$D:$D,B94,评分明细!$X:$X,"&lt;&gt;"),1),IF(B94="",ROUND(AVERAGEIFS(评分明细!$X:$X,评分明细!$E:$E,A94,评分明细!$C:$C,C94,评分明细!$X:$X,"&lt;&gt;"),1),ROUND(AVERAGEIFS(评分明细!$X:$X,评分明细!$E:$E,A94,评分明细!$D:$D,B94,评分明细!$C:$C,C94,评分明细!$X:$X,"&lt;&gt;"),1)))))</f>
        <v>0</v>
      </c>
      <c r="F94">
        <f t="shared" si="2"/>
        <v>0</v>
      </c>
      <c r="G94">
        <f>IF(D94=0,"",IF(AND(B94="",C94=""),COUNTIFS(评分明细!$E:$E,A94,评分明细!$X:$X,"&gt;=60"),IF(C94="",COUNTIFS(评分明细!$E:$E,A94,评分明细!$D:$D,B94,评分明细!$X:$X,"&gt;=60"),IF(B94="",COUNTIFS(评分明细!$E:$E,A94,评分明细!$C:$C,C94,评分明细!$X:$X,"&gt;=60"),COUNTIFS(评分明细!$E:$E,A94,评分明细!$D:$D,B94,评分明细!$C:$C,C94,评分明细!$X:$X,"&gt;=60")))))</f>
        <v>0</v>
      </c>
      <c r="H94">
        <f>IF(D94=0,"",IF(AND(B94="",C94=""),COUNTIFS(评分明细!$E:$E,A94,评分明细!$X:$X,"&gt;=80"),IF(C94="",COUNTIFS(评分明细!$E:$E,A94,评分明细!$D:$D,B94,评分明细!$X:$X,"&gt;=80"),IF(B94="",COUNTIFS(评分明细!$E:$E,A94,评分明细!$C:$C,C94,评分明细!$X:$X,"&gt;=80"),COUNTIFS(评分明细!$E:$E,A94,评分明细!$D:$D,B94,评分明细!$C:$C,C94,评分明细!$X:$X,"&gt;=80")))))</f>
        <v>0</v>
      </c>
    </row>
    <row r="95" spans="4:8">
      <c r="D95">
        <f>IF(A95="","",IF(AND(B95="",C95=""),COUNTIFS(评分明细!$E:$E,A95,评分明细!$X:$X,"&lt;&gt;"),IF(C95="",COUNTIFS(评分明细!$E:$E,A95,评分明细!$D:$D,B95,评分明细!$X:$X,"&lt;&gt;"),IF(B95="",COUNTIFS(评分明细!$E:$E,A95,评分明细!$C:$C,C95,评分明细!$X:$X,"&lt;&gt;"),COUNTIFS(评分明细!$E:$E,A95,评分明细!$D:$D,B95,评分明细!$C:$C,C95,评分明细!$X:$X,"&lt;&gt;")))))</f>
        <v>0</v>
      </c>
      <c r="E95">
        <f>IF(D95=0,"",IF(AND(B95="",C95=""),ROUND(AVERAGEIFS(评分明细!$X:$X,评分明细!$E:$E,A95,评分明细!$X:$X,"&lt;&gt;"),1),IF(C95="",ROUND(AVERAGEIFS(评分明细!$X:$X,评分明细!$E:$E,A95,评分明细!$D:$D,B95,评分明细!$X:$X,"&lt;&gt;"),1),IF(B95="",ROUND(AVERAGEIFS(评分明细!$X:$X,评分明细!$E:$E,A95,评分明细!$C:$C,C95,评分明细!$X:$X,"&lt;&gt;"),1),ROUND(AVERAGEIFS(评分明细!$X:$X,评分明细!$E:$E,A95,评分明细!$D:$D,B95,评分明细!$C:$C,C95,评分明细!$X:$X,"&lt;&gt;"),1)))))</f>
        <v>0</v>
      </c>
      <c r="F95">
        <f t="shared" si="2"/>
        <v>0</v>
      </c>
      <c r="G95">
        <f>IF(D95=0,"",IF(AND(B95="",C95=""),COUNTIFS(评分明细!$E:$E,A95,评分明细!$X:$X,"&gt;=60"),IF(C95="",COUNTIFS(评分明细!$E:$E,A95,评分明细!$D:$D,B95,评分明细!$X:$X,"&gt;=60"),IF(B95="",COUNTIFS(评分明细!$E:$E,A95,评分明细!$C:$C,C95,评分明细!$X:$X,"&gt;=60"),COUNTIFS(评分明细!$E:$E,A95,评分明细!$D:$D,B95,评分明细!$C:$C,C95,评分明细!$X:$X,"&gt;=60")))))</f>
        <v>0</v>
      </c>
      <c r="H95">
        <f>IF(D95=0,"",IF(AND(B95="",C95=""),COUNTIFS(评分明细!$E:$E,A95,评分明细!$X:$X,"&gt;=80"),IF(C95="",COUNTIFS(评分明细!$E:$E,A95,评分明细!$D:$D,B95,评分明细!$X:$X,"&gt;=80"),IF(B95="",COUNTIFS(评分明细!$E:$E,A95,评分明细!$C:$C,C95,评分明细!$X:$X,"&gt;=80"),COUNTIFS(评分明细!$E:$E,A95,评分明细!$D:$D,B95,评分明细!$C:$C,C95,评分明细!$X:$X,"&gt;=80")))))</f>
        <v>0</v>
      </c>
    </row>
    <row r="96" spans="4:8">
      <c r="D96">
        <f>IF(A96="","",IF(AND(B96="",C96=""),COUNTIFS(评分明细!$E:$E,A96,评分明细!$X:$X,"&lt;&gt;"),IF(C96="",COUNTIFS(评分明细!$E:$E,A96,评分明细!$D:$D,B96,评分明细!$X:$X,"&lt;&gt;"),IF(B96="",COUNTIFS(评分明细!$E:$E,A96,评分明细!$C:$C,C96,评分明细!$X:$X,"&lt;&gt;"),COUNTIFS(评分明细!$E:$E,A96,评分明细!$D:$D,B96,评分明细!$C:$C,C96,评分明细!$X:$X,"&lt;&gt;")))))</f>
        <v>0</v>
      </c>
      <c r="E96">
        <f>IF(D96=0,"",IF(AND(B96="",C96=""),ROUND(AVERAGEIFS(评分明细!$X:$X,评分明细!$E:$E,A96,评分明细!$X:$X,"&lt;&gt;"),1),IF(C96="",ROUND(AVERAGEIFS(评分明细!$X:$X,评分明细!$E:$E,A96,评分明细!$D:$D,B96,评分明细!$X:$X,"&lt;&gt;"),1),IF(B96="",ROUND(AVERAGEIFS(评分明细!$X:$X,评分明细!$E:$E,A96,评分明细!$C:$C,C96,评分明细!$X:$X,"&lt;&gt;"),1),ROUND(AVERAGEIFS(评分明细!$X:$X,评分明细!$E:$E,A96,评分明细!$D:$D,B96,评分明细!$C:$C,C96,评分明细!$X:$X,"&lt;&gt;"),1)))))</f>
        <v>0</v>
      </c>
      <c r="F96">
        <f t="shared" si="2"/>
        <v>0</v>
      </c>
      <c r="G96">
        <f>IF(D96=0,"",IF(AND(B96="",C96=""),COUNTIFS(评分明细!$E:$E,A96,评分明细!$X:$X,"&gt;=60"),IF(C96="",COUNTIFS(评分明细!$E:$E,A96,评分明细!$D:$D,B96,评分明细!$X:$X,"&gt;=60"),IF(B96="",COUNTIFS(评分明细!$E:$E,A96,评分明细!$C:$C,C96,评分明细!$X:$X,"&gt;=60"),COUNTIFS(评分明细!$E:$E,A96,评分明细!$D:$D,B96,评分明细!$C:$C,C96,评分明细!$X:$X,"&gt;=60")))))</f>
        <v>0</v>
      </c>
      <c r="H96">
        <f>IF(D96=0,"",IF(AND(B96="",C96=""),COUNTIFS(评分明细!$E:$E,A96,评分明细!$X:$X,"&gt;=80"),IF(C96="",COUNTIFS(评分明细!$E:$E,A96,评分明细!$D:$D,B96,评分明细!$X:$X,"&gt;=80"),IF(B96="",COUNTIFS(评分明细!$E:$E,A96,评分明细!$C:$C,C96,评分明细!$X:$X,"&gt;=80"),COUNTIFS(评分明细!$E:$E,A96,评分明细!$D:$D,B96,评分明细!$C:$C,C96,评分明细!$X:$X,"&gt;=80")))))</f>
        <v>0</v>
      </c>
    </row>
    <row r="97" spans="4:8">
      <c r="D97">
        <f>IF(A97="","",IF(AND(B97="",C97=""),COUNTIFS(评分明细!$E:$E,A97,评分明细!$X:$X,"&lt;&gt;"),IF(C97="",COUNTIFS(评分明细!$E:$E,A97,评分明细!$D:$D,B97,评分明细!$X:$X,"&lt;&gt;"),IF(B97="",COUNTIFS(评分明细!$E:$E,A97,评分明细!$C:$C,C97,评分明细!$X:$X,"&lt;&gt;"),COUNTIFS(评分明细!$E:$E,A97,评分明细!$D:$D,B97,评分明细!$C:$C,C97,评分明细!$X:$X,"&lt;&gt;")))))</f>
        <v>0</v>
      </c>
      <c r="E97">
        <f>IF(D97=0,"",IF(AND(B97="",C97=""),ROUND(AVERAGEIFS(评分明细!$X:$X,评分明细!$E:$E,A97,评分明细!$X:$X,"&lt;&gt;"),1),IF(C97="",ROUND(AVERAGEIFS(评分明细!$X:$X,评分明细!$E:$E,A97,评分明细!$D:$D,B97,评分明细!$X:$X,"&lt;&gt;"),1),IF(B97="",ROUND(AVERAGEIFS(评分明细!$X:$X,评分明细!$E:$E,A97,评分明细!$C:$C,C97,评分明细!$X:$X,"&lt;&gt;"),1),ROUND(AVERAGEIFS(评分明细!$X:$X,评分明细!$E:$E,A97,评分明细!$D:$D,B97,评分明细!$C:$C,C97,评分明细!$X:$X,"&lt;&gt;"),1)))))</f>
        <v>0</v>
      </c>
      <c r="F97">
        <f t="shared" si="2"/>
        <v>0</v>
      </c>
      <c r="G97">
        <f>IF(D97=0,"",IF(AND(B97="",C97=""),COUNTIFS(评分明细!$E:$E,A97,评分明细!$X:$X,"&gt;=60"),IF(C97="",COUNTIFS(评分明细!$E:$E,A97,评分明细!$D:$D,B97,评分明细!$X:$X,"&gt;=60"),IF(B97="",COUNTIFS(评分明细!$E:$E,A97,评分明细!$C:$C,C97,评分明细!$X:$X,"&gt;=60"),COUNTIFS(评分明细!$E:$E,A97,评分明细!$D:$D,B97,评分明细!$C:$C,C97,评分明细!$X:$X,"&gt;=60")))))</f>
        <v>0</v>
      </c>
      <c r="H97">
        <f>IF(D97=0,"",IF(AND(B97="",C97=""),COUNTIFS(评分明细!$E:$E,A97,评分明细!$X:$X,"&gt;=80"),IF(C97="",COUNTIFS(评分明细!$E:$E,A97,评分明细!$D:$D,B97,评分明细!$X:$X,"&gt;=80"),IF(B97="",COUNTIFS(评分明细!$E:$E,A97,评分明细!$C:$C,C97,评分明细!$X:$X,"&gt;=80"),COUNTIFS(评分明细!$E:$E,A97,评分明细!$D:$D,B97,评分明细!$C:$C,C97,评分明细!$X:$X,"&gt;=80")))))</f>
        <v>0</v>
      </c>
    </row>
    <row r="98" spans="4:8">
      <c r="D98">
        <f>IF(A98="","",IF(AND(B98="",C98=""),COUNTIFS(评分明细!$E:$E,A98,评分明细!$X:$X,"&lt;&gt;"),IF(C98="",COUNTIFS(评分明细!$E:$E,A98,评分明细!$D:$D,B98,评分明细!$X:$X,"&lt;&gt;"),IF(B98="",COUNTIFS(评分明细!$E:$E,A98,评分明细!$C:$C,C98,评分明细!$X:$X,"&lt;&gt;"),COUNTIFS(评分明细!$E:$E,A98,评分明细!$D:$D,B98,评分明细!$C:$C,C98,评分明细!$X:$X,"&lt;&gt;")))))</f>
        <v>0</v>
      </c>
      <c r="E98">
        <f>IF(D98=0,"",IF(AND(B98="",C98=""),ROUND(AVERAGEIFS(评分明细!$X:$X,评分明细!$E:$E,A98,评分明细!$X:$X,"&lt;&gt;"),1),IF(C98="",ROUND(AVERAGEIFS(评分明细!$X:$X,评分明细!$E:$E,A98,评分明细!$D:$D,B98,评分明细!$X:$X,"&lt;&gt;"),1),IF(B98="",ROUND(AVERAGEIFS(评分明细!$X:$X,评分明细!$E:$E,A98,评分明细!$C:$C,C98,评分明细!$X:$X,"&lt;&gt;"),1),ROUND(AVERAGEIFS(评分明细!$X:$X,评分明细!$E:$E,A98,评分明细!$D:$D,B98,评分明细!$C:$C,C98,评分明细!$X:$X,"&lt;&gt;"),1)))))</f>
        <v>0</v>
      </c>
      <c r="F98">
        <f t="shared" si="2"/>
        <v>0</v>
      </c>
      <c r="G98">
        <f>IF(D98=0,"",IF(AND(B98="",C98=""),COUNTIFS(评分明细!$E:$E,A98,评分明细!$X:$X,"&gt;=60"),IF(C98="",COUNTIFS(评分明细!$E:$E,A98,评分明细!$D:$D,B98,评分明细!$X:$X,"&gt;=60"),IF(B98="",COUNTIFS(评分明细!$E:$E,A98,评分明细!$C:$C,C98,评分明细!$X:$X,"&gt;=60"),COUNTIFS(评分明细!$E:$E,A98,评分明细!$D:$D,B98,评分明细!$C:$C,C98,评分明细!$X:$X,"&gt;=60")))))</f>
        <v>0</v>
      </c>
      <c r="H98">
        <f>IF(D98=0,"",IF(AND(B98="",C98=""),COUNTIFS(评分明细!$E:$E,A98,评分明细!$X:$X,"&gt;=80"),IF(C98="",COUNTIFS(评分明细!$E:$E,A98,评分明细!$D:$D,B98,评分明细!$X:$X,"&gt;=80"),IF(B98="",COUNTIFS(评分明细!$E:$E,A98,评分明细!$C:$C,C98,评分明细!$X:$X,"&gt;=80"),COUNTIFS(评分明细!$E:$E,A98,评分明细!$D:$D,B98,评分明细!$C:$C,C98,评分明细!$X:$X,"&gt;=80")))))</f>
        <v>0</v>
      </c>
    </row>
    <row r="99" spans="4:8">
      <c r="D99">
        <f>IF(A99="","",IF(AND(B99="",C99=""),COUNTIFS(评分明细!$E:$E,A99,评分明细!$X:$X,"&lt;&gt;"),IF(C99="",COUNTIFS(评分明细!$E:$E,A99,评分明细!$D:$D,B99,评分明细!$X:$X,"&lt;&gt;"),IF(B99="",COUNTIFS(评分明细!$E:$E,A99,评分明细!$C:$C,C99,评分明细!$X:$X,"&lt;&gt;"),COUNTIFS(评分明细!$E:$E,A99,评分明细!$D:$D,B99,评分明细!$C:$C,C99,评分明细!$X:$X,"&lt;&gt;")))))</f>
        <v>0</v>
      </c>
      <c r="E99">
        <f>IF(D99=0,"",IF(AND(B99="",C99=""),ROUND(AVERAGEIFS(评分明细!$X:$X,评分明细!$E:$E,A99,评分明细!$X:$X,"&lt;&gt;"),1),IF(C99="",ROUND(AVERAGEIFS(评分明细!$X:$X,评分明细!$E:$E,A99,评分明细!$D:$D,B99,评分明细!$X:$X,"&lt;&gt;"),1),IF(B99="",ROUND(AVERAGEIFS(评分明细!$X:$X,评分明细!$E:$E,A99,评分明细!$C:$C,C99,评分明细!$X:$X,"&lt;&gt;"),1),ROUND(AVERAGEIFS(评分明细!$X:$X,评分明细!$E:$E,A99,评分明细!$D:$D,B99,评分明细!$C:$C,C99,评分明细!$X:$X,"&lt;&gt;"),1)))))</f>
        <v>0</v>
      </c>
      <c r="F99">
        <f t="shared" si="2"/>
        <v>0</v>
      </c>
      <c r="G99">
        <f>IF(D99=0,"",IF(AND(B99="",C99=""),COUNTIFS(评分明细!$E:$E,A99,评分明细!$X:$X,"&gt;=60"),IF(C99="",COUNTIFS(评分明细!$E:$E,A99,评分明细!$D:$D,B99,评分明细!$X:$X,"&gt;=60"),IF(B99="",COUNTIFS(评分明细!$E:$E,A99,评分明细!$C:$C,C99,评分明细!$X:$X,"&gt;=60"),COUNTIFS(评分明细!$E:$E,A99,评分明细!$D:$D,B99,评分明细!$C:$C,C99,评分明细!$X:$X,"&gt;=60")))))</f>
        <v>0</v>
      </c>
      <c r="H99">
        <f>IF(D99=0,"",IF(AND(B99="",C99=""),COUNTIFS(评分明细!$E:$E,A99,评分明细!$X:$X,"&gt;=80"),IF(C99="",COUNTIFS(评分明细!$E:$E,A99,评分明细!$D:$D,B99,评分明细!$X:$X,"&gt;=80"),IF(B99="",COUNTIFS(评分明细!$E:$E,A99,评分明细!$C:$C,C99,评分明细!$X:$X,"&gt;=80"),COUNTIFS(评分明细!$E:$E,A99,评分明细!$D:$D,B99,评分明细!$C:$C,C99,评分明细!$X:$X,"&gt;=80")))))</f>
        <v>0</v>
      </c>
    </row>
    <row r="100" spans="4:8">
      <c r="D100">
        <f>IF(A100="","",IF(AND(B100="",C100=""),COUNTIFS(评分明细!$E:$E,A100,评分明细!$X:$X,"&lt;&gt;"),IF(C100="",COUNTIFS(评分明细!$E:$E,A100,评分明细!$D:$D,B100,评分明细!$X:$X,"&lt;&gt;"),IF(B100="",COUNTIFS(评分明细!$E:$E,A100,评分明细!$C:$C,C100,评分明细!$X:$X,"&lt;&gt;"),COUNTIFS(评分明细!$E:$E,A100,评分明细!$D:$D,B100,评分明细!$C:$C,C100,评分明细!$X:$X,"&lt;&gt;")))))</f>
        <v>0</v>
      </c>
      <c r="E100">
        <f>IF(D100=0,"",IF(AND(B100="",C100=""),ROUND(AVERAGEIFS(评分明细!$X:$X,评分明细!$E:$E,A100,评分明细!$X:$X,"&lt;&gt;"),1),IF(C100="",ROUND(AVERAGEIFS(评分明细!$X:$X,评分明细!$E:$E,A100,评分明细!$D:$D,B100,评分明细!$X:$X,"&lt;&gt;"),1),IF(B100="",ROUND(AVERAGEIFS(评分明细!$X:$X,评分明细!$E:$E,A100,评分明细!$C:$C,C100,评分明细!$X:$X,"&lt;&gt;"),1),ROUND(AVERAGEIFS(评分明细!$X:$X,评分明细!$E:$E,A100,评分明细!$D:$D,B100,评分明细!$C:$C,C100,评分明细!$X:$X,"&lt;&gt;"),1)))))</f>
        <v>0</v>
      </c>
      <c r="F100">
        <f t="shared" si="2"/>
        <v>0</v>
      </c>
      <c r="G100">
        <f>IF(D100=0,"",IF(AND(B100="",C100=""),COUNTIFS(评分明细!$E:$E,A100,评分明细!$X:$X,"&gt;=60"),IF(C100="",COUNTIFS(评分明细!$E:$E,A100,评分明细!$D:$D,B100,评分明细!$X:$X,"&gt;=60"),IF(B100="",COUNTIFS(评分明细!$E:$E,A100,评分明细!$C:$C,C100,评分明细!$X:$X,"&gt;=60"),COUNTIFS(评分明细!$E:$E,A100,评分明细!$D:$D,B100,评分明细!$C:$C,C100,评分明细!$X:$X,"&gt;=60")))))</f>
        <v>0</v>
      </c>
      <c r="H100">
        <f>IF(D100=0,"",IF(AND(B100="",C100=""),COUNTIFS(评分明细!$E:$E,A100,评分明细!$X:$X,"&gt;=80"),IF(C100="",COUNTIFS(评分明细!$E:$E,A100,评分明细!$D:$D,B100,评分明细!$X:$X,"&gt;=80"),IF(B100="",COUNTIFS(评分明细!$E:$E,A100,评分明细!$C:$C,C100,评分明细!$X:$X,"&gt;=80"),COUNTIFS(评分明细!$E:$E,A100,评分明细!$D:$D,B100,评分明细!$C:$C,C100,评分明细!$X:$X,"&gt;=80")))))</f>
        <v>0</v>
      </c>
    </row>
    <row r="101" spans="4:8">
      <c r="D101">
        <f>IF(A101="","",IF(AND(B101="",C101=""),COUNTIFS(评分明细!$E:$E,A101,评分明细!$X:$X,"&lt;&gt;"),IF(C101="",COUNTIFS(评分明细!$E:$E,A101,评分明细!$D:$D,B101,评分明细!$X:$X,"&lt;&gt;"),IF(B101="",COUNTIFS(评分明细!$E:$E,A101,评分明细!$C:$C,C101,评分明细!$X:$X,"&lt;&gt;"),COUNTIFS(评分明细!$E:$E,A101,评分明细!$D:$D,B101,评分明细!$C:$C,C101,评分明细!$X:$X,"&lt;&gt;")))))</f>
        <v>0</v>
      </c>
      <c r="E101">
        <f>IF(D101=0,"",IF(AND(B101="",C101=""),ROUND(AVERAGEIFS(评分明细!$X:$X,评分明细!$E:$E,A101,评分明细!$X:$X,"&lt;&gt;"),1),IF(C101="",ROUND(AVERAGEIFS(评分明细!$X:$X,评分明细!$E:$E,A101,评分明细!$D:$D,B101,评分明细!$X:$X,"&lt;&gt;"),1),IF(B101="",ROUND(AVERAGEIFS(评分明细!$X:$X,评分明细!$E:$E,A101,评分明细!$C:$C,C101,评分明细!$X:$X,"&lt;&gt;"),1),ROUND(AVERAGEIFS(评分明细!$X:$X,评分明细!$E:$E,A101,评分明细!$D:$D,B101,评分明细!$C:$C,C101,评分明细!$X:$X,"&lt;&gt;"),1)))))</f>
        <v>0</v>
      </c>
      <c r="F101">
        <f t="shared" si="2"/>
        <v>0</v>
      </c>
      <c r="G101">
        <f>IF(D101=0,"",IF(AND(B101="",C101=""),COUNTIFS(评分明细!$E:$E,A101,评分明细!$X:$X,"&gt;=60"),IF(C101="",COUNTIFS(评分明细!$E:$E,A101,评分明细!$D:$D,B101,评分明细!$X:$X,"&gt;=60"),IF(B101="",COUNTIFS(评分明细!$E:$E,A101,评分明细!$C:$C,C101,评分明细!$X:$X,"&gt;=60"),COUNTIFS(评分明细!$E:$E,A101,评分明细!$D:$D,B101,评分明细!$C:$C,C101,评分明细!$X:$X,"&gt;=60")))))</f>
        <v>0</v>
      </c>
      <c r="H101">
        <f>IF(D101=0,"",IF(AND(B101="",C101=""),COUNTIFS(评分明细!$E:$E,A101,评分明细!$X:$X,"&gt;=80"),IF(C101="",COUNTIFS(评分明细!$E:$E,A101,评分明细!$D:$D,B101,评分明细!$X:$X,"&gt;=80"),IF(B101="",COUNTIFS(评分明细!$E:$E,A101,评分明细!$C:$C,C101,评分明细!$X:$X,"&gt;=80"),COUNTIFS(评分明细!$E:$E,A101,评分明细!$D:$D,B101,评分明细!$C:$C,C101,评分明细!$X:$X,"&gt;=80")))))</f>
        <v>0</v>
      </c>
    </row>
    <row r="102" spans="4:8">
      <c r="D102">
        <f>IF(A102="","",IF(AND(B102="",C102=""),COUNTIFS(评分明细!$E:$E,A102,评分明细!$X:$X,"&lt;&gt;"),IF(C102="",COUNTIFS(评分明细!$E:$E,A102,评分明细!$D:$D,B102,评分明细!$X:$X,"&lt;&gt;"),IF(B102="",COUNTIFS(评分明细!$E:$E,A102,评分明细!$C:$C,C102,评分明细!$X:$X,"&lt;&gt;"),COUNTIFS(评分明细!$E:$E,A102,评分明细!$D:$D,B102,评分明细!$C:$C,C102,评分明细!$X:$X,"&lt;&gt;")))))</f>
        <v>0</v>
      </c>
      <c r="E102">
        <f>IF(D102=0,"",IF(AND(B102="",C102=""),ROUND(AVERAGEIFS(评分明细!$X:$X,评分明细!$E:$E,A102,评分明细!$X:$X,"&lt;&gt;"),1),IF(C102="",ROUND(AVERAGEIFS(评分明细!$X:$X,评分明细!$E:$E,A102,评分明细!$D:$D,B102,评分明细!$X:$X,"&lt;&gt;"),1),IF(B102="",ROUND(AVERAGEIFS(评分明细!$X:$X,评分明细!$E:$E,A102,评分明细!$C:$C,C102,评分明细!$X:$X,"&lt;&gt;"),1),ROUND(AVERAGEIFS(评分明细!$X:$X,评分明细!$E:$E,A102,评分明细!$D:$D,B102,评分明细!$C:$C,C102,评分明细!$X:$X,"&lt;&gt;"),1)))))</f>
        <v>0</v>
      </c>
      <c r="F102">
        <f t="shared" si="2"/>
        <v>0</v>
      </c>
      <c r="G102">
        <f>IF(D102=0,"",IF(AND(B102="",C102=""),COUNTIFS(评分明细!$E:$E,A102,评分明细!$X:$X,"&gt;=60"),IF(C102="",COUNTIFS(评分明细!$E:$E,A102,评分明细!$D:$D,B102,评分明细!$X:$X,"&gt;=60"),IF(B102="",COUNTIFS(评分明细!$E:$E,A102,评分明细!$C:$C,C102,评分明细!$X:$X,"&gt;=60"),COUNTIFS(评分明细!$E:$E,A102,评分明细!$D:$D,B102,评分明细!$C:$C,C102,评分明细!$X:$X,"&gt;=60")))))</f>
        <v>0</v>
      </c>
      <c r="H102">
        <f>IF(D102=0,"",IF(AND(B102="",C102=""),COUNTIFS(评分明细!$E:$E,A102,评分明细!$X:$X,"&gt;=80"),IF(C102="",COUNTIFS(评分明细!$E:$E,A102,评分明细!$D:$D,B102,评分明细!$X:$X,"&gt;=80"),IF(B102="",COUNTIFS(评分明细!$E:$E,A102,评分明细!$C:$C,C102,评分明细!$X:$X,"&gt;=80"),COUNTIFS(评分明细!$E:$E,A102,评分明细!$D:$D,B102,评分明细!$C:$C,C102,评分明细!$X:$X,"&gt;=80")))))</f>
        <v>0</v>
      </c>
    </row>
    <row r="103" spans="4:8">
      <c r="D103">
        <f>IF(A103="","",IF(AND(B103="",C103=""),COUNTIFS(评分明细!$E:$E,A103,评分明细!$X:$X,"&lt;&gt;"),IF(C103="",COUNTIFS(评分明细!$E:$E,A103,评分明细!$D:$D,B103,评分明细!$X:$X,"&lt;&gt;"),IF(B103="",COUNTIFS(评分明细!$E:$E,A103,评分明细!$C:$C,C103,评分明细!$X:$X,"&lt;&gt;"),COUNTIFS(评分明细!$E:$E,A103,评分明细!$D:$D,B103,评分明细!$C:$C,C103,评分明细!$X:$X,"&lt;&gt;")))))</f>
        <v>0</v>
      </c>
      <c r="E103">
        <f>IF(D103=0,"",IF(AND(B103="",C103=""),ROUND(AVERAGEIFS(评分明细!$X:$X,评分明细!$E:$E,A103,评分明细!$X:$X,"&lt;&gt;"),1),IF(C103="",ROUND(AVERAGEIFS(评分明细!$X:$X,评分明细!$E:$E,A103,评分明细!$D:$D,B103,评分明细!$X:$X,"&lt;&gt;"),1),IF(B103="",ROUND(AVERAGEIFS(评分明细!$X:$X,评分明细!$E:$E,A103,评分明细!$C:$C,C103,评分明细!$X:$X,"&lt;&gt;"),1),ROUND(AVERAGEIFS(评分明细!$X:$X,评分明细!$E:$E,A103,评分明细!$D:$D,B103,评分明细!$C:$C,C103,评分明细!$X:$X,"&lt;&gt;"),1)))))</f>
        <v>0</v>
      </c>
      <c r="F103">
        <f t="shared" si="2"/>
        <v>0</v>
      </c>
      <c r="G103">
        <f>IF(D103=0,"",IF(AND(B103="",C103=""),COUNTIFS(评分明细!$E:$E,A103,评分明细!$X:$X,"&gt;=60"),IF(C103="",COUNTIFS(评分明细!$E:$E,A103,评分明细!$D:$D,B103,评分明细!$X:$X,"&gt;=60"),IF(B103="",COUNTIFS(评分明细!$E:$E,A103,评分明细!$C:$C,C103,评分明细!$X:$X,"&gt;=60"),COUNTIFS(评分明细!$E:$E,A103,评分明细!$D:$D,B103,评分明细!$C:$C,C103,评分明细!$X:$X,"&gt;=60")))))</f>
        <v>0</v>
      </c>
      <c r="H103">
        <f>IF(D103=0,"",IF(AND(B103="",C103=""),COUNTIFS(评分明细!$E:$E,A103,评分明细!$X:$X,"&gt;=80"),IF(C103="",COUNTIFS(评分明细!$E:$E,A103,评分明细!$D:$D,B103,评分明细!$X:$X,"&gt;=80"),IF(B103="",COUNTIFS(评分明细!$E:$E,A103,评分明细!$C:$C,C103,评分明细!$X:$X,"&gt;=80"),COUNTIFS(评分明细!$E:$E,A103,评分明细!$D:$D,B103,评分明细!$C:$C,C103,评分明细!$X:$X,"&gt;=80")))))</f>
        <v>0</v>
      </c>
    </row>
    <row r="104" spans="4:8">
      <c r="D104">
        <f>IF(A104="","",IF(AND(B104="",C104=""),COUNTIFS(评分明细!$E:$E,A104,评分明细!$X:$X,"&lt;&gt;"),IF(C104="",COUNTIFS(评分明细!$E:$E,A104,评分明细!$D:$D,B104,评分明细!$X:$X,"&lt;&gt;"),IF(B104="",COUNTIFS(评分明细!$E:$E,A104,评分明细!$C:$C,C104,评分明细!$X:$X,"&lt;&gt;"),COUNTIFS(评分明细!$E:$E,A104,评分明细!$D:$D,B104,评分明细!$C:$C,C104,评分明细!$X:$X,"&lt;&gt;")))))</f>
        <v>0</v>
      </c>
      <c r="E104">
        <f>IF(D104=0,"",IF(AND(B104="",C104=""),ROUND(AVERAGEIFS(评分明细!$X:$X,评分明细!$E:$E,A104,评分明细!$X:$X,"&lt;&gt;"),1),IF(C104="",ROUND(AVERAGEIFS(评分明细!$X:$X,评分明细!$E:$E,A104,评分明细!$D:$D,B104,评分明细!$X:$X,"&lt;&gt;"),1),IF(B104="",ROUND(AVERAGEIFS(评分明细!$X:$X,评分明细!$E:$E,A104,评分明细!$C:$C,C104,评分明细!$X:$X,"&lt;&gt;"),1),ROUND(AVERAGEIFS(评分明细!$X:$X,评分明细!$E:$E,A104,评分明细!$D:$D,B104,评分明细!$C:$C,C104,评分明细!$X:$X,"&lt;&gt;"),1)))))</f>
        <v>0</v>
      </c>
      <c r="F104">
        <f t="shared" si="2"/>
        <v>0</v>
      </c>
      <c r="G104">
        <f>IF(D104=0,"",IF(AND(B104="",C104=""),COUNTIFS(评分明细!$E:$E,A104,评分明细!$X:$X,"&gt;=60"),IF(C104="",COUNTIFS(评分明细!$E:$E,A104,评分明细!$D:$D,B104,评分明细!$X:$X,"&gt;=60"),IF(B104="",COUNTIFS(评分明细!$E:$E,A104,评分明细!$C:$C,C104,评分明细!$X:$X,"&gt;=60"),COUNTIFS(评分明细!$E:$E,A104,评分明细!$D:$D,B104,评分明细!$C:$C,C104,评分明细!$X:$X,"&gt;=60")))))</f>
        <v>0</v>
      </c>
      <c r="H104">
        <f>IF(D104=0,"",IF(AND(B104="",C104=""),COUNTIFS(评分明细!$E:$E,A104,评分明细!$X:$X,"&gt;=80"),IF(C104="",COUNTIFS(评分明细!$E:$E,A104,评分明细!$D:$D,B104,评分明细!$X:$X,"&gt;=80"),IF(B104="",COUNTIFS(评分明细!$E:$E,A104,评分明细!$C:$C,C104,评分明细!$X:$X,"&gt;=80"),COUNTIFS(评分明细!$E:$E,A104,评分明细!$D:$D,B104,评分明细!$C:$C,C104,评分明细!$X:$X,"&gt;=80")))))</f>
        <v>0</v>
      </c>
    </row>
    <row r="105" spans="4:8">
      <c r="D105">
        <f>IF(A105="","",IF(AND(B105="",C105=""),COUNTIFS(评分明细!$E:$E,A105,评分明细!$X:$X,"&lt;&gt;"),IF(C105="",COUNTIFS(评分明细!$E:$E,A105,评分明细!$D:$D,B105,评分明细!$X:$X,"&lt;&gt;"),IF(B105="",COUNTIFS(评分明细!$E:$E,A105,评分明细!$C:$C,C105,评分明细!$X:$X,"&lt;&gt;"),COUNTIFS(评分明细!$E:$E,A105,评分明细!$D:$D,B105,评分明细!$C:$C,C105,评分明细!$X:$X,"&lt;&gt;")))))</f>
        <v>0</v>
      </c>
      <c r="E105">
        <f>IF(D105=0,"",IF(AND(B105="",C105=""),ROUND(AVERAGEIFS(评分明细!$X:$X,评分明细!$E:$E,A105,评分明细!$X:$X,"&lt;&gt;"),1),IF(C105="",ROUND(AVERAGEIFS(评分明细!$X:$X,评分明细!$E:$E,A105,评分明细!$D:$D,B105,评分明细!$X:$X,"&lt;&gt;"),1),IF(B105="",ROUND(AVERAGEIFS(评分明细!$X:$X,评分明细!$E:$E,A105,评分明细!$C:$C,C105,评分明细!$X:$X,"&lt;&gt;"),1),ROUND(AVERAGEIFS(评分明细!$X:$X,评分明细!$E:$E,A105,评分明细!$D:$D,B105,评分明细!$C:$C,C105,评分明细!$X:$X,"&lt;&gt;"),1)))))</f>
        <v>0</v>
      </c>
      <c r="F105">
        <f t="shared" si="2"/>
        <v>0</v>
      </c>
      <c r="G105">
        <f>IF(D105=0,"",IF(AND(B105="",C105=""),COUNTIFS(评分明细!$E:$E,A105,评分明细!$X:$X,"&gt;=60"),IF(C105="",COUNTIFS(评分明细!$E:$E,A105,评分明细!$D:$D,B105,评分明细!$X:$X,"&gt;=60"),IF(B105="",COUNTIFS(评分明细!$E:$E,A105,评分明细!$C:$C,C105,评分明细!$X:$X,"&gt;=60"),COUNTIFS(评分明细!$E:$E,A105,评分明细!$D:$D,B105,评分明细!$C:$C,C105,评分明细!$X:$X,"&gt;=60")))))</f>
        <v>0</v>
      </c>
      <c r="H105">
        <f>IF(D105=0,"",IF(AND(B105="",C105=""),COUNTIFS(评分明细!$E:$E,A105,评分明细!$X:$X,"&gt;=80"),IF(C105="",COUNTIFS(评分明细!$E:$E,A105,评分明细!$D:$D,B105,评分明细!$X:$X,"&gt;=80"),IF(B105="",COUNTIFS(评分明细!$E:$E,A105,评分明细!$C:$C,C105,评分明细!$X:$X,"&gt;=80"),COUNTIFS(评分明细!$E:$E,A105,评分明细!$D:$D,B105,评分明细!$C:$C,C105,评分明细!$X:$X,"&gt;=80")))))</f>
        <v>0</v>
      </c>
    </row>
    <row r="106" spans="4:8">
      <c r="D106">
        <f>IF(A106="","",IF(AND(B106="",C106=""),COUNTIFS(评分明细!$E:$E,A106,评分明细!$X:$X,"&lt;&gt;"),IF(C106="",COUNTIFS(评分明细!$E:$E,A106,评分明细!$D:$D,B106,评分明细!$X:$X,"&lt;&gt;"),IF(B106="",COUNTIFS(评分明细!$E:$E,A106,评分明细!$C:$C,C106,评分明细!$X:$X,"&lt;&gt;"),COUNTIFS(评分明细!$E:$E,A106,评分明细!$D:$D,B106,评分明细!$C:$C,C106,评分明细!$X:$X,"&lt;&gt;")))))</f>
        <v>0</v>
      </c>
      <c r="E106">
        <f>IF(D106=0,"",IF(AND(B106="",C106=""),ROUND(AVERAGEIFS(评分明细!$X:$X,评分明细!$E:$E,A106,评分明细!$X:$X,"&lt;&gt;"),1),IF(C106="",ROUND(AVERAGEIFS(评分明细!$X:$X,评分明细!$E:$E,A106,评分明细!$D:$D,B106,评分明细!$X:$X,"&lt;&gt;"),1),IF(B106="",ROUND(AVERAGEIFS(评分明细!$X:$X,评分明细!$E:$E,A106,评分明细!$C:$C,C106,评分明细!$X:$X,"&lt;&gt;"),1),ROUND(AVERAGEIFS(评分明细!$X:$X,评分明细!$E:$E,A106,评分明细!$D:$D,B106,评分明细!$C:$C,C106,评分明细!$X:$X,"&lt;&gt;"),1)))))</f>
        <v>0</v>
      </c>
      <c r="F106">
        <f t="shared" si="2"/>
        <v>0</v>
      </c>
      <c r="G106">
        <f>IF(D106=0,"",IF(AND(B106="",C106=""),COUNTIFS(评分明细!$E:$E,A106,评分明细!$X:$X,"&gt;=60"),IF(C106="",COUNTIFS(评分明细!$E:$E,A106,评分明细!$D:$D,B106,评分明细!$X:$X,"&gt;=60"),IF(B106="",COUNTIFS(评分明细!$E:$E,A106,评分明细!$C:$C,C106,评分明细!$X:$X,"&gt;=60"),COUNTIFS(评分明细!$E:$E,A106,评分明细!$D:$D,B106,评分明细!$C:$C,C106,评分明细!$X:$X,"&gt;=60")))))</f>
        <v>0</v>
      </c>
      <c r="H106">
        <f>IF(D106=0,"",IF(AND(B106="",C106=""),COUNTIFS(评分明细!$E:$E,A106,评分明细!$X:$X,"&gt;=80"),IF(C106="",COUNTIFS(评分明细!$E:$E,A106,评分明细!$D:$D,B106,评分明细!$X:$X,"&gt;=80"),IF(B106="",COUNTIFS(评分明细!$E:$E,A106,评分明细!$C:$C,C106,评分明细!$X:$X,"&gt;=80"),COUNTIFS(评分明细!$E:$E,A106,评分明细!$D:$D,B106,评分明细!$C:$C,C106,评分明细!$X:$X,"&gt;=80")))))</f>
        <v>0</v>
      </c>
    </row>
    <row r="107" spans="4:8">
      <c r="D107">
        <f>IF(A107="","",IF(AND(B107="",C107=""),COUNTIFS(评分明细!$E:$E,A107,评分明细!$X:$X,"&lt;&gt;"),IF(C107="",COUNTIFS(评分明细!$E:$E,A107,评分明细!$D:$D,B107,评分明细!$X:$X,"&lt;&gt;"),IF(B107="",COUNTIFS(评分明细!$E:$E,A107,评分明细!$C:$C,C107,评分明细!$X:$X,"&lt;&gt;"),COUNTIFS(评分明细!$E:$E,A107,评分明细!$D:$D,B107,评分明细!$C:$C,C107,评分明细!$X:$X,"&lt;&gt;")))))</f>
        <v>0</v>
      </c>
      <c r="E107">
        <f>IF(D107=0,"",IF(AND(B107="",C107=""),ROUND(AVERAGEIFS(评分明细!$X:$X,评分明细!$E:$E,A107,评分明细!$X:$X,"&lt;&gt;"),1),IF(C107="",ROUND(AVERAGEIFS(评分明细!$X:$X,评分明细!$E:$E,A107,评分明细!$D:$D,B107,评分明细!$X:$X,"&lt;&gt;"),1),IF(B107="",ROUND(AVERAGEIFS(评分明细!$X:$X,评分明细!$E:$E,A107,评分明细!$C:$C,C107,评分明细!$X:$X,"&lt;&gt;"),1),ROUND(AVERAGEIFS(评分明细!$X:$X,评分明细!$E:$E,A107,评分明细!$D:$D,B107,评分明细!$C:$C,C107,评分明细!$X:$X,"&lt;&gt;"),1)))))</f>
        <v>0</v>
      </c>
      <c r="F107">
        <f t="shared" si="2"/>
        <v>0</v>
      </c>
      <c r="G107">
        <f>IF(D107=0,"",IF(AND(B107="",C107=""),COUNTIFS(评分明细!$E:$E,A107,评分明细!$X:$X,"&gt;=60"),IF(C107="",COUNTIFS(评分明细!$E:$E,A107,评分明细!$D:$D,B107,评分明细!$X:$X,"&gt;=60"),IF(B107="",COUNTIFS(评分明细!$E:$E,A107,评分明细!$C:$C,C107,评分明细!$X:$X,"&gt;=60"),COUNTIFS(评分明细!$E:$E,A107,评分明细!$D:$D,B107,评分明细!$C:$C,C107,评分明细!$X:$X,"&gt;=60")))))</f>
        <v>0</v>
      </c>
      <c r="H107">
        <f>IF(D107=0,"",IF(AND(B107="",C107=""),COUNTIFS(评分明细!$E:$E,A107,评分明细!$X:$X,"&gt;=80"),IF(C107="",COUNTIFS(评分明细!$E:$E,A107,评分明细!$D:$D,B107,评分明细!$X:$X,"&gt;=80"),IF(B107="",COUNTIFS(评分明细!$E:$E,A107,评分明细!$C:$C,C107,评分明细!$X:$X,"&gt;=80"),COUNTIFS(评分明细!$E:$E,A107,评分明细!$D:$D,B107,评分明细!$C:$C,C107,评分明细!$X:$X,"&gt;=80")))))</f>
        <v>0</v>
      </c>
    </row>
    <row r="108" spans="4:8">
      <c r="D108">
        <f>IF(A108="","",IF(AND(B108="",C108=""),COUNTIFS(评分明细!$E:$E,A108,评分明细!$X:$X,"&lt;&gt;"),IF(C108="",COUNTIFS(评分明细!$E:$E,A108,评分明细!$D:$D,B108,评分明细!$X:$X,"&lt;&gt;"),IF(B108="",COUNTIFS(评分明细!$E:$E,A108,评分明细!$C:$C,C108,评分明细!$X:$X,"&lt;&gt;"),COUNTIFS(评分明细!$E:$E,A108,评分明细!$D:$D,B108,评分明细!$C:$C,C108,评分明细!$X:$X,"&lt;&gt;")))))</f>
        <v>0</v>
      </c>
      <c r="E108">
        <f>IF(D108=0,"",IF(AND(B108="",C108=""),ROUND(AVERAGEIFS(评分明细!$X:$X,评分明细!$E:$E,A108,评分明细!$X:$X,"&lt;&gt;"),1),IF(C108="",ROUND(AVERAGEIFS(评分明细!$X:$X,评分明细!$E:$E,A108,评分明细!$D:$D,B108,评分明细!$X:$X,"&lt;&gt;"),1),IF(B108="",ROUND(AVERAGEIFS(评分明细!$X:$X,评分明细!$E:$E,A108,评分明细!$C:$C,C108,评分明细!$X:$X,"&lt;&gt;"),1),ROUND(AVERAGEIFS(评分明细!$X:$X,评分明细!$E:$E,A108,评分明细!$D:$D,B108,评分明细!$C:$C,C108,评分明细!$X:$X,"&lt;&gt;"),1)))))</f>
        <v>0</v>
      </c>
      <c r="F108">
        <f t="shared" si="2"/>
        <v>0</v>
      </c>
      <c r="G108">
        <f>IF(D108=0,"",IF(AND(B108="",C108=""),COUNTIFS(评分明细!$E:$E,A108,评分明细!$X:$X,"&gt;=60"),IF(C108="",COUNTIFS(评分明细!$E:$E,A108,评分明细!$D:$D,B108,评分明细!$X:$X,"&gt;=60"),IF(B108="",COUNTIFS(评分明细!$E:$E,A108,评分明细!$C:$C,C108,评分明细!$X:$X,"&gt;=60"),COUNTIFS(评分明细!$E:$E,A108,评分明细!$D:$D,B108,评分明细!$C:$C,C108,评分明细!$X:$X,"&gt;=60")))))</f>
        <v>0</v>
      </c>
      <c r="H108">
        <f>IF(D108=0,"",IF(AND(B108="",C108=""),COUNTIFS(评分明细!$E:$E,A108,评分明细!$X:$X,"&gt;=80"),IF(C108="",COUNTIFS(评分明细!$E:$E,A108,评分明细!$D:$D,B108,评分明细!$X:$X,"&gt;=80"),IF(B108="",COUNTIFS(评分明细!$E:$E,A108,评分明细!$C:$C,C108,评分明细!$X:$X,"&gt;=80"),COUNTIFS(评分明细!$E:$E,A108,评分明细!$D:$D,B108,评分明细!$C:$C,C108,评分明细!$X:$X,"&gt;=80")))))</f>
        <v>0</v>
      </c>
    </row>
    <row r="109" spans="4:8">
      <c r="D109">
        <f>IF(A109="","",IF(AND(B109="",C109=""),COUNTIFS(评分明细!$E:$E,A109,评分明细!$X:$X,"&lt;&gt;"),IF(C109="",COUNTIFS(评分明细!$E:$E,A109,评分明细!$D:$D,B109,评分明细!$X:$X,"&lt;&gt;"),IF(B109="",COUNTIFS(评分明细!$E:$E,A109,评分明细!$C:$C,C109,评分明细!$X:$X,"&lt;&gt;"),COUNTIFS(评分明细!$E:$E,A109,评分明细!$D:$D,B109,评分明细!$C:$C,C109,评分明细!$X:$X,"&lt;&gt;")))))</f>
        <v>0</v>
      </c>
      <c r="E109">
        <f>IF(D109=0,"",IF(AND(B109="",C109=""),ROUND(AVERAGEIFS(评分明细!$X:$X,评分明细!$E:$E,A109,评分明细!$X:$X,"&lt;&gt;"),1),IF(C109="",ROUND(AVERAGEIFS(评分明细!$X:$X,评分明细!$E:$E,A109,评分明细!$D:$D,B109,评分明细!$X:$X,"&lt;&gt;"),1),IF(B109="",ROUND(AVERAGEIFS(评分明细!$X:$X,评分明细!$E:$E,A109,评分明细!$C:$C,C109,评分明细!$X:$X,"&lt;&gt;"),1),ROUND(AVERAGEIFS(评分明细!$X:$X,评分明细!$E:$E,A109,评分明细!$D:$D,B109,评分明细!$C:$C,C109,评分明细!$X:$X,"&lt;&gt;"),1)))))</f>
        <v>0</v>
      </c>
      <c r="F109">
        <f t="shared" si="2"/>
        <v>0</v>
      </c>
      <c r="G109">
        <f>IF(D109=0,"",IF(AND(B109="",C109=""),COUNTIFS(评分明细!$E:$E,A109,评分明细!$X:$X,"&gt;=60"),IF(C109="",COUNTIFS(评分明细!$E:$E,A109,评分明细!$D:$D,B109,评分明细!$X:$X,"&gt;=60"),IF(B109="",COUNTIFS(评分明细!$E:$E,A109,评分明细!$C:$C,C109,评分明细!$X:$X,"&gt;=60"),COUNTIFS(评分明细!$E:$E,A109,评分明细!$D:$D,B109,评分明细!$C:$C,C109,评分明细!$X:$X,"&gt;=60")))))</f>
        <v>0</v>
      </c>
      <c r="H109">
        <f>IF(D109=0,"",IF(AND(B109="",C109=""),COUNTIFS(评分明细!$E:$E,A109,评分明细!$X:$X,"&gt;=80"),IF(C109="",COUNTIFS(评分明细!$E:$E,A109,评分明细!$D:$D,B109,评分明细!$X:$X,"&gt;=80"),IF(B109="",COUNTIFS(评分明细!$E:$E,A109,评分明细!$C:$C,C109,评分明细!$X:$X,"&gt;=80"),COUNTIFS(评分明细!$E:$E,A109,评分明细!$D:$D,B109,评分明细!$C:$C,C109,评分明细!$X:$X,"&gt;=80")))))</f>
        <v>0</v>
      </c>
    </row>
    <row r="110" spans="4:8">
      <c r="D110">
        <f>IF(A110="","",IF(AND(B110="",C110=""),COUNTIFS(评分明细!$E:$E,A110,评分明细!$X:$X,"&lt;&gt;"),IF(C110="",COUNTIFS(评分明细!$E:$E,A110,评分明细!$D:$D,B110,评分明细!$X:$X,"&lt;&gt;"),IF(B110="",COUNTIFS(评分明细!$E:$E,A110,评分明细!$C:$C,C110,评分明细!$X:$X,"&lt;&gt;"),COUNTIFS(评分明细!$E:$E,A110,评分明细!$D:$D,B110,评分明细!$C:$C,C110,评分明细!$X:$X,"&lt;&gt;")))))</f>
        <v>0</v>
      </c>
      <c r="E110">
        <f>IF(D110=0,"",IF(AND(B110="",C110=""),ROUND(AVERAGEIFS(评分明细!$X:$X,评分明细!$E:$E,A110,评分明细!$X:$X,"&lt;&gt;"),1),IF(C110="",ROUND(AVERAGEIFS(评分明细!$X:$X,评分明细!$E:$E,A110,评分明细!$D:$D,B110,评分明细!$X:$X,"&lt;&gt;"),1),IF(B110="",ROUND(AVERAGEIFS(评分明细!$X:$X,评分明细!$E:$E,A110,评分明细!$C:$C,C110,评分明细!$X:$X,"&lt;&gt;"),1),ROUND(AVERAGEIFS(评分明细!$X:$X,评分明细!$E:$E,A110,评分明细!$D:$D,B110,评分明细!$C:$C,C110,评分明细!$X:$X,"&lt;&gt;"),1)))))</f>
        <v>0</v>
      </c>
      <c r="F110">
        <f t="shared" si="2"/>
        <v>0</v>
      </c>
      <c r="G110">
        <f>IF(D110=0,"",IF(AND(B110="",C110=""),COUNTIFS(评分明细!$E:$E,A110,评分明细!$X:$X,"&gt;=60"),IF(C110="",COUNTIFS(评分明细!$E:$E,A110,评分明细!$D:$D,B110,评分明细!$X:$X,"&gt;=60"),IF(B110="",COUNTIFS(评分明细!$E:$E,A110,评分明细!$C:$C,C110,评分明细!$X:$X,"&gt;=60"),COUNTIFS(评分明细!$E:$E,A110,评分明细!$D:$D,B110,评分明细!$C:$C,C110,评分明细!$X:$X,"&gt;=60")))))</f>
        <v>0</v>
      </c>
      <c r="H110">
        <f>IF(D110=0,"",IF(AND(B110="",C110=""),COUNTIFS(评分明细!$E:$E,A110,评分明细!$X:$X,"&gt;=80"),IF(C110="",COUNTIFS(评分明细!$E:$E,A110,评分明细!$D:$D,B110,评分明细!$X:$X,"&gt;=80"),IF(B110="",COUNTIFS(评分明细!$E:$E,A110,评分明细!$C:$C,C110,评分明细!$X:$X,"&gt;=80"),COUNTIFS(评分明细!$E:$E,A110,评分明细!$D:$D,B110,评分明细!$C:$C,C110,评分明细!$X:$X,"&gt;=80")))))</f>
        <v>0</v>
      </c>
    </row>
    <row r="111" spans="4:8">
      <c r="D111">
        <f>IF(A111="","",IF(AND(B111="",C111=""),COUNTIFS(评分明细!$E:$E,A111,评分明细!$X:$X,"&lt;&gt;"),IF(C111="",COUNTIFS(评分明细!$E:$E,A111,评分明细!$D:$D,B111,评分明细!$X:$X,"&lt;&gt;"),IF(B111="",COUNTIFS(评分明细!$E:$E,A111,评分明细!$C:$C,C111,评分明细!$X:$X,"&lt;&gt;"),COUNTIFS(评分明细!$E:$E,A111,评分明细!$D:$D,B111,评分明细!$C:$C,C111,评分明细!$X:$X,"&lt;&gt;")))))</f>
        <v>0</v>
      </c>
      <c r="E111">
        <f>IF(D111=0,"",IF(AND(B111="",C111=""),ROUND(AVERAGEIFS(评分明细!$X:$X,评分明细!$E:$E,A111,评分明细!$X:$X,"&lt;&gt;"),1),IF(C111="",ROUND(AVERAGEIFS(评分明细!$X:$X,评分明细!$E:$E,A111,评分明细!$D:$D,B111,评分明细!$X:$X,"&lt;&gt;"),1),IF(B111="",ROUND(AVERAGEIFS(评分明细!$X:$X,评分明细!$E:$E,A111,评分明细!$C:$C,C111,评分明细!$X:$X,"&lt;&gt;"),1),ROUND(AVERAGEIFS(评分明细!$X:$X,评分明细!$E:$E,A111,评分明细!$D:$D,B111,评分明细!$C:$C,C111,评分明细!$X:$X,"&lt;&gt;"),1)))))</f>
        <v>0</v>
      </c>
      <c r="F111">
        <f t="shared" si="2"/>
        <v>0</v>
      </c>
      <c r="G111">
        <f>IF(D111=0,"",IF(AND(B111="",C111=""),COUNTIFS(评分明细!$E:$E,A111,评分明细!$X:$X,"&gt;=60"),IF(C111="",COUNTIFS(评分明细!$E:$E,A111,评分明细!$D:$D,B111,评分明细!$X:$X,"&gt;=60"),IF(B111="",COUNTIFS(评分明细!$E:$E,A111,评分明细!$C:$C,C111,评分明细!$X:$X,"&gt;=60"),COUNTIFS(评分明细!$E:$E,A111,评分明细!$D:$D,B111,评分明细!$C:$C,C111,评分明细!$X:$X,"&gt;=60")))))</f>
        <v>0</v>
      </c>
      <c r="H111">
        <f>IF(D111=0,"",IF(AND(B111="",C111=""),COUNTIFS(评分明细!$E:$E,A111,评分明细!$X:$X,"&gt;=80"),IF(C111="",COUNTIFS(评分明细!$E:$E,A111,评分明细!$D:$D,B111,评分明细!$X:$X,"&gt;=80"),IF(B111="",COUNTIFS(评分明细!$E:$E,A111,评分明细!$C:$C,C111,评分明细!$X:$X,"&gt;=80"),COUNTIFS(评分明细!$E:$E,A111,评分明细!$D:$D,B111,评分明细!$C:$C,C111,评分明细!$X:$X,"&gt;=80")))))</f>
        <v>0</v>
      </c>
    </row>
    <row r="112" spans="4:8">
      <c r="D112">
        <f>IF(A112="","",IF(AND(B112="",C112=""),COUNTIFS(评分明细!$E:$E,A112,评分明细!$X:$X,"&lt;&gt;"),IF(C112="",COUNTIFS(评分明细!$E:$E,A112,评分明细!$D:$D,B112,评分明细!$X:$X,"&lt;&gt;"),IF(B112="",COUNTIFS(评分明细!$E:$E,A112,评分明细!$C:$C,C112,评分明细!$X:$X,"&lt;&gt;"),COUNTIFS(评分明细!$E:$E,A112,评分明细!$D:$D,B112,评分明细!$C:$C,C112,评分明细!$X:$X,"&lt;&gt;")))))</f>
        <v>0</v>
      </c>
      <c r="E112">
        <f>IF(D112=0,"",IF(AND(B112="",C112=""),ROUND(AVERAGEIFS(评分明细!$X:$X,评分明细!$E:$E,A112,评分明细!$X:$X,"&lt;&gt;"),1),IF(C112="",ROUND(AVERAGEIFS(评分明细!$X:$X,评分明细!$E:$E,A112,评分明细!$D:$D,B112,评分明细!$X:$X,"&lt;&gt;"),1),IF(B112="",ROUND(AVERAGEIFS(评分明细!$X:$X,评分明细!$E:$E,A112,评分明细!$C:$C,C112,评分明细!$X:$X,"&lt;&gt;"),1),ROUND(AVERAGEIFS(评分明细!$X:$X,评分明细!$E:$E,A112,评分明细!$D:$D,B112,评分明细!$C:$C,C112,评分明细!$X:$X,"&lt;&gt;"),1)))))</f>
        <v>0</v>
      </c>
      <c r="F112">
        <f t="shared" si="2"/>
        <v>0</v>
      </c>
      <c r="G112">
        <f>IF(D112=0,"",IF(AND(B112="",C112=""),COUNTIFS(评分明细!$E:$E,A112,评分明细!$X:$X,"&gt;=60"),IF(C112="",COUNTIFS(评分明细!$E:$E,A112,评分明细!$D:$D,B112,评分明细!$X:$X,"&gt;=60"),IF(B112="",COUNTIFS(评分明细!$E:$E,A112,评分明细!$C:$C,C112,评分明细!$X:$X,"&gt;=60"),COUNTIFS(评分明细!$E:$E,A112,评分明细!$D:$D,B112,评分明细!$C:$C,C112,评分明细!$X:$X,"&gt;=60")))))</f>
        <v>0</v>
      </c>
      <c r="H112">
        <f>IF(D112=0,"",IF(AND(B112="",C112=""),COUNTIFS(评分明细!$E:$E,A112,评分明细!$X:$X,"&gt;=80"),IF(C112="",COUNTIFS(评分明细!$E:$E,A112,评分明细!$D:$D,B112,评分明细!$X:$X,"&gt;=80"),IF(B112="",COUNTIFS(评分明细!$E:$E,A112,评分明细!$C:$C,C112,评分明细!$X:$X,"&gt;=80"),COUNTIFS(评分明细!$E:$E,A112,评分明细!$D:$D,B112,评分明细!$C:$C,C112,评分明细!$X:$X,"&gt;=80")))))</f>
        <v>0</v>
      </c>
    </row>
    <row r="113" spans="4:8">
      <c r="D113">
        <f>IF(A113="","",IF(AND(B113="",C113=""),COUNTIFS(评分明细!$E:$E,A113,评分明细!$X:$X,"&lt;&gt;"),IF(C113="",COUNTIFS(评分明细!$E:$E,A113,评分明细!$D:$D,B113,评分明细!$X:$X,"&lt;&gt;"),IF(B113="",COUNTIFS(评分明细!$E:$E,A113,评分明细!$C:$C,C113,评分明细!$X:$X,"&lt;&gt;"),COUNTIFS(评分明细!$E:$E,A113,评分明细!$D:$D,B113,评分明细!$C:$C,C113,评分明细!$X:$X,"&lt;&gt;")))))</f>
        <v>0</v>
      </c>
      <c r="E113">
        <f>IF(D113=0,"",IF(AND(B113="",C113=""),ROUND(AVERAGEIFS(评分明细!$X:$X,评分明细!$E:$E,A113,评分明细!$X:$X,"&lt;&gt;"),1),IF(C113="",ROUND(AVERAGEIFS(评分明细!$X:$X,评分明细!$E:$E,A113,评分明细!$D:$D,B113,评分明细!$X:$X,"&lt;&gt;"),1),IF(B113="",ROUND(AVERAGEIFS(评分明细!$X:$X,评分明细!$E:$E,A113,评分明细!$C:$C,C113,评分明细!$X:$X,"&lt;&gt;"),1),ROUND(AVERAGEIFS(评分明细!$X:$X,评分明细!$E:$E,A113,评分明细!$D:$D,B113,评分明细!$C:$C,C113,评分明细!$X:$X,"&lt;&gt;"),1)))))</f>
        <v>0</v>
      </c>
      <c r="F113">
        <f t="shared" si="2"/>
        <v>0</v>
      </c>
      <c r="G113">
        <f>IF(D113=0,"",IF(AND(B113="",C113=""),COUNTIFS(评分明细!$E:$E,A113,评分明细!$X:$X,"&gt;=60"),IF(C113="",COUNTIFS(评分明细!$E:$E,A113,评分明细!$D:$D,B113,评分明细!$X:$X,"&gt;=60"),IF(B113="",COUNTIFS(评分明细!$E:$E,A113,评分明细!$C:$C,C113,评分明细!$X:$X,"&gt;=60"),COUNTIFS(评分明细!$E:$E,A113,评分明细!$D:$D,B113,评分明细!$C:$C,C113,评分明细!$X:$X,"&gt;=60")))))</f>
        <v>0</v>
      </c>
      <c r="H113">
        <f>IF(D113=0,"",IF(AND(B113="",C113=""),COUNTIFS(评分明细!$E:$E,A113,评分明细!$X:$X,"&gt;=80"),IF(C113="",COUNTIFS(评分明细!$E:$E,A113,评分明细!$D:$D,B113,评分明细!$X:$X,"&gt;=80"),IF(B113="",COUNTIFS(评分明细!$E:$E,A113,评分明细!$C:$C,C113,评分明细!$X:$X,"&gt;=80"),COUNTIFS(评分明细!$E:$E,A113,评分明细!$D:$D,B113,评分明细!$C:$C,C113,评分明细!$X:$X,"&gt;=80")))))</f>
        <v>0</v>
      </c>
    </row>
    <row r="114" spans="4:8">
      <c r="D114">
        <f>IF(A114="","",IF(AND(B114="",C114=""),COUNTIFS(评分明细!$E:$E,A114,评分明细!$X:$X,"&lt;&gt;"),IF(C114="",COUNTIFS(评分明细!$E:$E,A114,评分明细!$D:$D,B114,评分明细!$X:$X,"&lt;&gt;"),IF(B114="",COUNTIFS(评分明细!$E:$E,A114,评分明细!$C:$C,C114,评分明细!$X:$X,"&lt;&gt;"),COUNTIFS(评分明细!$E:$E,A114,评分明细!$D:$D,B114,评分明细!$C:$C,C114,评分明细!$X:$X,"&lt;&gt;")))))</f>
        <v>0</v>
      </c>
      <c r="E114">
        <f>IF(D114=0,"",IF(AND(B114="",C114=""),ROUND(AVERAGEIFS(评分明细!$X:$X,评分明细!$E:$E,A114,评分明细!$X:$X,"&lt;&gt;"),1),IF(C114="",ROUND(AVERAGEIFS(评分明细!$X:$X,评分明细!$E:$E,A114,评分明细!$D:$D,B114,评分明细!$X:$X,"&lt;&gt;"),1),IF(B114="",ROUND(AVERAGEIFS(评分明细!$X:$X,评分明细!$E:$E,A114,评分明细!$C:$C,C114,评分明细!$X:$X,"&lt;&gt;"),1),ROUND(AVERAGEIFS(评分明细!$X:$X,评分明细!$E:$E,A114,评分明细!$D:$D,B114,评分明细!$C:$C,C114,评分明细!$X:$X,"&lt;&gt;"),1)))))</f>
        <v>0</v>
      </c>
      <c r="F114">
        <f t="shared" si="2"/>
        <v>0</v>
      </c>
      <c r="G114">
        <f>IF(D114=0,"",IF(AND(B114="",C114=""),COUNTIFS(评分明细!$E:$E,A114,评分明细!$X:$X,"&gt;=60"),IF(C114="",COUNTIFS(评分明细!$E:$E,A114,评分明细!$D:$D,B114,评分明细!$X:$X,"&gt;=60"),IF(B114="",COUNTIFS(评分明细!$E:$E,A114,评分明细!$C:$C,C114,评分明细!$X:$X,"&gt;=60"),COUNTIFS(评分明细!$E:$E,A114,评分明细!$D:$D,B114,评分明细!$C:$C,C114,评分明细!$X:$X,"&gt;=60")))))</f>
        <v>0</v>
      </c>
      <c r="H114">
        <f>IF(D114=0,"",IF(AND(B114="",C114=""),COUNTIFS(评分明细!$E:$E,A114,评分明细!$X:$X,"&gt;=80"),IF(C114="",COUNTIFS(评分明细!$E:$E,A114,评分明细!$D:$D,B114,评分明细!$X:$X,"&gt;=80"),IF(B114="",COUNTIFS(评分明细!$E:$E,A114,评分明细!$C:$C,C114,评分明细!$X:$X,"&gt;=80"),COUNTIFS(评分明细!$E:$E,A114,评分明细!$D:$D,B114,评分明细!$C:$C,C114,评分明细!$X:$X,"&gt;=80")))))</f>
        <v>0</v>
      </c>
    </row>
    <row r="115" spans="4:8">
      <c r="D115">
        <f>IF(A115="","",IF(AND(B115="",C115=""),COUNTIFS(评分明细!$E:$E,A115,评分明细!$X:$X,"&lt;&gt;"),IF(C115="",COUNTIFS(评分明细!$E:$E,A115,评分明细!$D:$D,B115,评分明细!$X:$X,"&lt;&gt;"),IF(B115="",COUNTIFS(评分明细!$E:$E,A115,评分明细!$C:$C,C115,评分明细!$X:$X,"&lt;&gt;"),COUNTIFS(评分明细!$E:$E,A115,评分明细!$D:$D,B115,评分明细!$C:$C,C115,评分明细!$X:$X,"&lt;&gt;")))))</f>
        <v>0</v>
      </c>
      <c r="E115">
        <f>IF(D115=0,"",IF(AND(B115="",C115=""),ROUND(AVERAGEIFS(评分明细!$X:$X,评分明细!$E:$E,A115,评分明细!$X:$X,"&lt;&gt;"),1),IF(C115="",ROUND(AVERAGEIFS(评分明细!$X:$X,评分明细!$E:$E,A115,评分明细!$D:$D,B115,评分明细!$X:$X,"&lt;&gt;"),1),IF(B115="",ROUND(AVERAGEIFS(评分明细!$X:$X,评分明细!$E:$E,A115,评分明细!$C:$C,C115,评分明细!$X:$X,"&lt;&gt;"),1),ROUND(AVERAGEIFS(评分明细!$X:$X,评分明细!$E:$E,A115,评分明细!$D:$D,B115,评分明细!$C:$C,C115,评分明细!$X:$X,"&lt;&gt;"),1)))))</f>
        <v>0</v>
      </c>
      <c r="F115">
        <f t="shared" si="2"/>
        <v>0</v>
      </c>
      <c r="G115">
        <f>IF(D115=0,"",IF(AND(B115="",C115=""),COUNTIFS(评分明细!$E:$E,A115,评分明细!$X:$X,"&gt;=60"),IF(C115="",COUNTIFS(评分明细!$E:$E,A115,评分明细!$D:$D,B115,评分明细!$X:$X,"&gt;=60"),IF(B115="",COUNTIFS(评分明细!$E:$E,A115,评分明细!$C:$C,C115,评分明细!$X:$X,"&gt;=60"),COUNTIFS(评分明细!$E:$E,A115,评分明细!$D:$D,B115,评分明细!$C:$C,C115,评分明细!$X:$X,"&gt;=60")))))</f>
        <v>0</v>
      </c>
      <c r="H115">
        <f>IF(D115=0,"",IF(AND(B115="",C115=""),COUNTIFS(评分明细!$E:$E,A115,评分明细!$X:$X,"&gt;=80"),IF(C115="",COUNTIFS(评分明细!$E:$E,A115,评分明细!$D:$D,B115,评分明细!$X:$X,"&gt;=80"),IF(B115="",COUNTIFS(评分明细!$E:$E,A115,评分明细!$C:$C,C115,评分明细!$X:$X,"&gt;=80"),COUNTIFS(评分明细!$E:$E,A115,评分明细!$D:$D,B115,评分明细!$C:$C,C115,评分明细!$X:$X,"&gt;=80")))))</f>
        <v>0</v>
      </c>
    </row>
    <row r="116" spans="4:8">
      <c r="D116">
        <f>IF(A116="","",IF(AND(B116="",C116=""),COUNTIFS(评分明细!$E:$E,A116,评分明细!$X:$X,"&lt;&gt;"),IF(C116="",COUNTIFS(评分明细!$E:$E,A116,评分明细!$D:$D,B116,评分明细!$X:$X,"&lt;&gt;"),IF(B116="",COUNTIFS(评分明细!$E:$E,A116,评分明细!$C:$C,C116,评分明细!$X:$X,"&lt;&gt;"),COUNTIFS(评分明细!$E:$E,A116,评分明细!$D:$D,B116,评分明细!$C:$C,C116,评分明细!$X:$X,"&lt;&gt;")))))</f>
        <v>0</v>
      </c>
      <c r="E116">
        <f>IF(D116=0,"",IF(AND(B116="",C116=""),ROUND(AVERAGEIFS(评分明细!$X:$X,评分明细!$E:$E,A116,评分明细!$X:$X,"&lt;&gt;"),1),IF(C116="",ROUND(AVERAGEIFS(评分明细!$X:$X,评分明细!$E:$E,A116,评分明细!$D:$D,B116,评分明细!$X:$X,"&lt;&gt;"),1),IF(B116="",ROUND(AVERAGEIFS(评分明细!$X:$X,评分明细!$E:$E,A116,评分明细!$C:$C,C116,评分明细!$X:$X,"&lt;&gt;"),1),ROUND(AVERAGEIFS(评分明细!$X:$X,评分明细!$E:$E,A116,评分明细!$D:$D,B116,评分明细!$C:$C,C116,评分明细!$X:$X,"&lt;&gt;"),1)))))</f>
        <v>0</v>
      </c>
      <c r="F116">
        <f t="shared" si="2"/>
        <v>0</v>
      </c>
      <c r="G116">
        <f>IF(D116=0,"",IF(AND(B116="",C116=""),COUNTIFS(评分明细!$E:$E,A116,评分明细!$X:$X,"&gt;=60"),IF(C116="",COUNTIFS(评分明细!$E:$E,A116,评分明细!$D:$D,B116,评分明细!$X:$X,"&gt;=60"),IF(B116="",COUNTIFS(评分明细!$E:$E,A116,评分明细!$C:$C,C116,评分明细!$X:$X,"&gt;=60"),COUNTIFS(评分明细!$E:$E,A116,评分明细!$D:$D,B116,评分明细!$C:$C,C116,评分明细!$X:$X,"&gt;=60")))))</f>
        <v>0</v>
      </c>
      <c r="H116">
        <f>IF(D116=0,"",IF(AND(B116="",C116=""),COUNTIFS(评分明细!$E:$E,A116,评分明细!$X:$X,"&gt;=80"),IF(C116="",COUNTIFS(评分明细!$E:$E,A116,评分明细!$D:$D,B116,评分明细!$X:$X,"&gt;=80"),IF(B116="",COUNTIFS(评分明细!$E:$E,A116,评分明细!$C:$C,C116,评分明细!$X:$X,"&gt;=80"),COUNTIFS(评分明细!$E:$E,A116,评分明细!$D:$D,B116,评分明细!$C:$C,C116,评分明细!$X:$X,"&gt;=80")))))</f>
        <v>0</v>
      </c>
    </row>
    <row r="117" spans="4:8">
      <c r="D117">
        <f>IF(A117="","",IF(AND(B117="",C117=""),COUNTIFS(评分明细!$E:$E,A117,评分明细!$X:$X,"&lt;&gt;"),IF(C117="",COUNTIFS(评分明细!$E:$E,A117,评分明细!$D:$D,B117,评分明细!$X:$X,"&lt;&gt;"),IF(B117="",COUNTIFS(评分明细!$E:$E,A117,评分明细!$C:$C,C117,评分明细!$X:$X,"&lt;&gt;"),COUNTIFS(评分明细!$E:$E,A117,评分明细!$D:$D,B117,评分明细!$C:$C,C117,评分明细!$X:$X,"&lt;&gt;")))))</f>
        <v>0</v>
      </c>
      <c r="E117">
        <f>IF(D117=0,"",IF(AND(B117="",C117=""),ROUND(AVERAGEIFS(评分明细!$X:$X,评分明细!$E:$E,A117,评分明细!$X:$X,"&lt;&gt;"),1),IF(C117="",ROUND(AVERAGEIFS(评分明细!$X:$X,评分明细!$E:$E,A117,评分明细!$D:$D,B117,评分明细!$X:$X,"&lt;&gt;"),1),IF(B117="",ROUND(AVERAGEIFS(评分明细!$X:$X,评分明细!$E:$E,A117,评分明细!$C:$C,C117,评分明细!$X:$X,"&lt;&gt;"),1),ROUND(AVERAGEIFS(评分明细!$X:$X,评分明细!$E:$E,A117,评分明细!$D:$D,B117,评分明细!$C:$C,C117,评分明细!$X:$X,"&lt;&gt;"),1)))))</f>
        <v>0</v>
      </c>
      <c r="F117">
        <f t="shared" si="2"/>
        <v>0</v>
      </c>
      <c r="G117">
        <f>IF(D117=0,"",IF(AND(B117="",C117=""),COUNTIFS(评分明细!$E:$E,A117,评分明细!$X:$X,"&gt;=60"),IF(C117="",COUNTIFS(评分明细!$E:$E,A117,评分明细!$D:$D,B117,评分明细!$X:$X,"&gt;=60"),IF(B117="",COUNTIFS(评分明细!$E:$E,A117,评分明细!$C:$C,C117,评分明细!$X:$X,"&gt;=60"),COUNTIFS(评分明细!$E:$E,A117,评分明细!$D:$D,B117,评分明细!$C:$C,C117,评分明细!$X:$X,"&gt;=60")))))</f>
        <v>0</v>
      </c>
      <c r="H117">
        <f>IF(D117=0,"",IF(AND(B117="",C117=""),COUNTIFS(评分明细!$E:$E,A117,评分明细!$X:$X,"&gt;=80"),IF(C117="",COUNTIFS(评分明细!$E:$E,A117,评分明细!$D:$D,B117,评分明细!$X:$X,"&gt;=80"),IF(B117="",COUNTIFS(评分明细!$E:$E,A117,评分明细!$C:$C,C117,评分明细!$X:$X,"&gt;=80"),COUNTIFS(评分明细!$E:$E,A117,评分明细!$D:$D,B117,评分明细!$C:$C,C117,评分明细!$X:$X,"&gt;=80")))))</f>
        <v>0</v>
      </c>
    </row>
    <row r="118" spans="4:8">
      <c r="D118">
        <f>IF(A118="","",IF(AND(B118="",C118=""),COUNTIFS(评分明细!$E:$E,A118,评分明细!$X:$X,"&lt;&gt;"),IF(C118="",COUNTIFS(评分明细!$E:$E,A118,评分明细!$D:$D,B118,评分明细!$X:$X,"&lt;&gt;"),IF(B118="",COUNTIFS(评分明细!$E:$E,A118,评分明细!$C:$C,C118,评分明细!$X:$X,"&lt;&gt;"),COUNTIFS(评分明细!$E:$E,A118,评分明细!$D:$D,B118,评分明细!$C:$C,C118,评分明细!$X:$X,"&lt;&gt;")))))</f>
        <v>0</v>
      </c>
      <c r="E118">
        <f>IF(D118=0,"",IF(AND(B118="",C118=""),ROUND(AVERAGEIFS(评分明细!$X:$X,评分明细!$E:$E,A118,评分明细!$X:$X,"&lt;&gt;"),1),IF(C118="",ROUND(AVERAGEIFS(评分明细!$X:$X,评分明细!$E:$E,A118,评分明细!$D:$D,B118,评分明细!$X:$X,"&lt;&gt;"),1),IF(B118="",ROUND(AVERAGEIFS(评分明细!$X:$X,评分明细!$E:$E,A118,评分明细!$C:$C,C118,评分明细!$X:$X,"&lt;&gt;"),1),ROUND(AVERAGEIFS(评分明细!$X:$X,评分明细!$E:$E,A118,评分明细!$D:$D,B118,评分明细!$C:$C,C118,评分明细!$X:$X,"&lt;&gt;"),1)))))</f>
        <v>0</v>
      </c>
      <c r="F118">
        <f t="shared" si="2"/>
        <v>0</v>
      </c>
      <c r="G118">
        <f>IF(D118=0,"",IF(AND(B118="",C118=""),COUNTIFS(评分明细!$E:$E,A118,评分明细!$X:$X,"&gt;=60"),IF(C118="",COUNTIFS(评分明细!$E:$E,A118,评分明细!$D:$D,B118,评分明细!$X:$X,"&gt;=60"),IF(B118="",COUNTIFS(评分明细!$E:$E,A118,评分明细!$C:$C,C118,评分明细!$X:$X,"&gt;=60"),COUNTIFS(评分明细!$E:$E,A118,评分明细!$D:$D,B118,评分明细!$C:$C,C118,评分明细!$X:$X,"&gt;=60")))))</f>
        <v>0</v>
      </c>
      <c r="H118">
        <f>IF(D118=0,"",IF(AND(B118="",C118=""),COUNTIFS(评分明细!$E:$E,A118,评分明细!$X:$X,"&gt;=80"),IF(C118="",COUNTIFS(评分明细!$E:$E,A118,评分明细!$D:$D,B118,评分明细!$X:$X,"&gt;=80"),IF(B118="",COUNTIFS(评分明细!$E:$E,A118,评分明细!$C:$C,C118,评分明细!$X:$X,"&gt;=80"),COUNTIFS(评分明细!$E:$E,A118,评分明细!$D:$D,B118,评分明细!$C:$C,C118,评分明细!$X:$X,"&gt;=80")))))</f>
        <v>0</v>
      </c>
    </row>
    <row r="119" spans="4:8">
      <c r="D119">
        <f>IF(A119="","",IF(AND(B119="",C119=""),COUNTIFS(评分明细!$E:$E,A119,评分明细!$X:$X,"&lt;&gt;"),IF(C119="",COUNTIFS(评分明细!$E:$E,A119,评分明细!$D:$D,B119,评分明细!$X:$X,"&lt;&gt;"),IF(B119="",COUNTIFS(评分明细!$E:$E,A119,评分明细!$C:$C,C119,评分明细!$X:$X,"&lt;&gt;"),COUNTIFS(评分明细!$E:$E,A119,评分明细!$D:$D,B119,评分明细!$C:$C,C119,评分明细!$X:$X,"&lt;&gt;")))))</f>
        <v>0</v>
      </c>
      <c r="E119">
        <f>IF(D119=0,"",IF(AND(B119="",C119=""),ROUND(AVERAGEIFS(评分明细!$X:$X,评分明细!$E:$E,A119,评分明细!$X:$X,"&lt;&gt;"),1),IF(C119="",ROUND(AVERAGEIFS(评分明细!$X:$X,评分明细!$E:$E,A119,评分明细!$D:$D,B119,评分明细!$X:$X,"&lt;&gt;"),1),IF(B119="",ROUND(AVERAGEIFS(评分明细!$X:$X,评分明细!$E:$E,A119,评分明细!$C:$C,C119,评分明细!$X:$X,"&lt;&gt;"),1),ROUND(AVERAGEIFS(评分明细!$X:$X,评分明细!$E:$E,A119,评分明细!$D:$D,B119,评分明细!$C:$C,C119,评分明细!$X:$X,"&lt;&gt;"),1)))))</f>
        <v>0</v>
      </c>
      <c r="F119">
        <f t="shared" si="2"/>
        <v>0</v>
      </c>
      <c r="G119">
        <f>IF(D119=0,"",IF(AND(B119="",C119=""),COUNTIFS(评分明细!$E:$E,A119,评分明细!$X:$X,"&gt;=60"),IF(C119="",COUNTIFS(评分明细!$E:$E,A119,评分明细!$D:$D,B119,评分明细!$X:$X,"&gt;=60"),IF(B119="",COUNTIFS(评分明细!$E:$E,A119,评分明细!$C:$C,C119,评分明细!$X:$X,"&gt;=60"),COUNTIFS(评分明细!$E:$E,A119,评分明细!$D:$D,B119,评分明细!$C:$C,C119,评分明细!$X:$X,"&gt;=60")))))</f>
        <v>0</v>
      </c>
      <c r="H119">
        <f>IF(D119=0,"",IF(AND(B119="",C119=""),COUNTIFS(评分明细!$E:$E,A119,评分明细!$X:$X,"&gt;=80"),IF(C119="",COUNTIFS(评分明细!$E:$E,A119,评分明细!$D:$D,B119,评分明细!$X:$X,"&gt;=80"),IF(B119="",COUNTIFS(评分明细!$E:$E,A119,评分明细!$C:$C,C119,评分明细!$X:$X,"&gt;=80"),COUNTIFS(评分明细!$E:$E,A119,评分明细!$D:$D,B119,评分明细!$C:$C,C119,评分明细!$X:$X,"&gt;=80")))))</f>
        <v>0</v>
      </c>
    </row>
    <row r="120" spans="4:8">
      <c r="D120">
        <f>IF(A120="","",IF(AND(B120="",C120=""),COUNTIFS(评分明细!$E:$E,A120,评分明细!$X:$X,"&lt;&gt;"),IF(C120="",COUNTIFS(评分明细!$E:$E,A120,评分明细!$D:$D,B120,评分明细!$X:$X,"&lt;&gt;"),IF(B120="",COUNTIFS(评分明细!$E:$E,A120,评分明细!$C:$C,C120,评分明细!$X:$X,"&lt;&gt;"),COUNTIFS(评分明细!$E:$E,A120,评分明细!$D:$D,B120,评分明细!$C:$C,C120,评分明细!$X:$X,"&lt;&gt;")))))</f>
        <v>0</v>
      </c>
      <c r="E120">
        <f>IF(D120=0,"",IF(AND(B120="",C120=""),ROUND(AVERAGEIFS(评分明细!$X:$X,评分明细!$E:$E,A120,评分明细!$X:$X,"&lt;&gt;"),1),IF(C120="",ROUND(AVERAGEIFS(评分明细!$X:$X,评分明细!$E:$E,A120,评分明细!$D:$D,B120,评分明细!$X:$X,"&lt;&gt;"),1),IF(B120="",ROUND(AVERAGEIFS(评分明细!$X:$X,评分明细!$E:$E,A120,评分明细!$C:$C,C120,评分明细!$X:$X,"&lt;&gt;"),1),ROUND(AVERAGEIFS(评分明细!$X:$X,评分明细!$E:$E,A120,评分明细!$D:$D,B120,评分明细!$C:$C,C120,评分明细!$X:$X,"&lt;&gt;"),1)))))</f>
        <v>0</v>
      </c>
      <c r="F120">
        <f t="shared" si="2"/>
        <v>0</v>
      </c>
      <c r="G120">
        <f>IF(D120=0,"",IF(AND(B120="",C120=""),COUNTIFS(评分明细!$E:$E,A120,评分明细!$X:$X,"&gt;=60"),IF(C120="",COUNTIFS(评分明细!$E:$E,A120,评分明细!$D:$D,B120,评分明细!$X:$X,"&gt;=60"),IF(B120="",COUNTIFS(评分明细!$E:$E,A120,评分明细!$C:$C,C120,评分明细!$X:$X,"&gt;=60"),COUNTIFS(评分明细!$E:$E,A120,评分明细!$D:$D,B120,评分明细!$C:$C,C120,评分明细!$X:$X,"&gt;=60")))))</f>
        <v>0</v>
      </c>
      <c r="H120">
        <f>IF(D120=0,"",IF(AND(B120="",C120=""),COUNTIFS(评分明细!$E:$E,A120,评分明细!$X:$X,"&gt;=80"),IF(C120="",COUNTIFS(评分明细!$E:$E,A120,评分明细!$D:$D,B120,评分明细!$X:$X,"&gt;=80"),IF(B120="",COUNTIFS(评分明细!$E:$E,A120,评分明细!$C:$C,C120,评分明细!$X:$X,"&gt;=80"),COUNTIFS(评分明细!$E:$E,A120,评分明细!$D:$D,B120,评分明细!$C:$C,C120,评分明细!$X:$X,"&gt;=80")))))</f>
        <v>0</v>
      </c>
    </row>
    <row r="121" spans="4:8">
      <c r="D121">
        <f>IF(A121="","",IF(AND(B121="",C121=""),COUNTIFS(评分明细!$E:$E,A121,评分明细!$X:$X,"&lt;&gt;"),IF(C121="",COUNTIFS(评分明细!$E:$E,A121,评分明细!$D:$D,B121,评分明细!$X:$X,"&lt;&gt;"),IF(B121="",COUNTIFS(评分明细!$E:$E,A121,评分明细!$C:$C,C121,评分明细!$X:$X,"&lt;&gt;"),COUNTIFS(评分明细!$E:$E,A121,评分明细!$D:$D,B121,评分明细!$C:$C,C121,评分明细!$X:$X,"&lt;&gt;")))))</f>
        <v>0</v>
      </c>
      <c r="E121">
        <f>IF(D121=0,"",IF(AND(B121="",C121=""),ROUND(AVERAGEIFS(评分明细!$X:$X,评分明细!$E:$E,A121,评分明细!$X:$X,"&lt;&gt;"),1),IF(C121="",ROUND(AVERAGEIFS(评分明细!$X:$X,评分明细!$E:$E,A121,评分明细!$D:$D,B121,评分明细!$X:$X,"&lt;&gt;"),1),IF(B121="",ROUND(AVERAGEIFS(评分明细!$X:$X,评分明细!$E:$E,A121,评分明细!$C:$C,C121,评分明细!$X:$X,"&lt;&gt;"),1),ROUND(AVERAGEIFS(评分明细!$X:$X,评分明细!$E:$E,A121,评分明细!$D:$D,B121,评分明细!$C:$C,C121,评分明细!$X:$X,"&lt;&gt;"),1)))))</f>
        <v>0</v>
      </c>
      <c r="F121">
        <f t="shared" si="2"/>
        <v>0</v>
      </c>
      <c r="G121">
        <f>IF(D121=0,"",IF(AND(B121="",C121=""),COUNTIFS(评分明细!$E:$E,A121,评分明细!$X:$X,"&gt;=60"),IF(C121="",COUNTIFS(评分明细!$E:$E,A121,评分明细!$D:$D,B121,评分明细!$X:$X,"&gt;=60"),IF(B121="",COUNTIFS(评分明细!$E:$E,A121,评分明细!$C:$C,C121,评分明细!$X:$X,"&gt;=60"),COUNTIFS(评分明细!$E:$E,A121,评分明细!$D:$D,B121,评分明细!$C:$C,C121,评分明细!$X:$X,"&gt;=60")))))</f>
        <v>0</v>
      </c>
      <c r="H121">
        <f>IF(D121=0,"",IF(AND(B121="",C121=""),COUNTIFS(评分明细!$E:$E,A121,评分明细!$X:$X,"&gt;=80"),IF(C121="",COUNTIFS(评分明细!$E:$E,A121,评分明细!$D:$D,B121,评分明细!$X:$X,"&gt;=80"),IF(B121="",COUNTIFS(评分明细!$E:$E,A121,评分明细!$C:$C,C121,评分明细!$X:$X,"&gt;=80"),COUNTIFS(评分明细!$E:$E,A121,评分明细!$D:$D,B121,评分明细!$C:$C,C121,评分明细!$X:$X,"&gt;=80")))))</f>
        <v>0</v>
      </c>
    </row>
    <row r="122" spans="4:8">
      <c r="D122">
        <f>IF(A122="","",IF(AND(B122="",C122=""),COUNTIFS(评分明细!$E:$E,A122,评分明细!$X:$X,"&lt;&gt;"),IF(C122="",COUNTIFS(评分明细!$E:$E,A122,评分明细!$D:$D,B122,评分明细!$X:$X,"&lt;&gt;"),IF(B122="",COUNTIFS(评分明细!$E:$E,A122,评分明细!$C:$C,C122,评分明细!$X:$X,"&lt;&gt;"),COUNTIFS(评分明细!$E:$E,A122,评分明细!$D:$D,B122,评分明细!$C:$C,C122,评分明细!$X:$X,"&lt;&gt;")))))</f>
        <v>0</v>
      </c>
      <c r="E122">
        <f>IF(D122=0,"",IF(AND(B122="",C122=""),ROUND(AVERAGEIFS(评分明细!$X:$X,评分明细!$E:$E,A122,评分明细!$X:$X,"&lt;&gt;"),1),IF(C122="",ROUND(AVERAGEIFS(评分明细!$X:$X,评分明细!$E:$E,A122,评分明细!$D:$D,B122,评分明细!$X:$X,"&lt;&gt;"),1),IF(B122="",ROUND(AVERAGEIFS(评分明细!$X:$X,评分明细!$E:$E,A122,评分明细!$C:$C,C122,评分明细!$X:$X,"&lt;&gt;"),1),ROUND(AVERAGEIFS(评分明细!$X:$X,评分明细!$E:$E,A122,评分明细!$D:$D,B122,评分明细!$C:$C,C122,评分明细!$X:$X,"&lt;&gt;"),1)))))</f>
        <v>0</v>
      </c>
      <c r="F122">
        <f t="shared" si="2"/>
        <v>0</v>
      </c>
      <c r="G122">
        <f>IF(D122=0,"",IF(AND(B122="",C122=""),COUNTIFS(评分明细!$E:$E,A122,评分明细!$X:$X,"&gt;=60"),IF(C122="",COUNTIFS(评分明细!$E:$E,A122,评分明细!$D:$D,B122,评分明细!$X:$X,"&gt;=60"),IF(B122="",COUNTIFS(评分明细!$E:$E,A122,评分明细!$C:$C,C122,评分明细!$X:$X,"&gt;=60"),COUNTIFS(评分明细!$E:$E,A122,评分明细!$D:$D,B122,评分明细!$C:$C,C122,评分明细!$X:$X,"&gt;=60")))))</f>
        <v>0</v>
      </c>
      <c r="H122">
        <f>IF(D122=0,"",IF(AND(B122="",C122=""),COUNTIFS(评分明细!$E:$E,A122,评分明细!$X:$X,"&gt;=80"),IF(C122="",COUNTIFS(评分明细!$E:$E,A122,评分明细!$D:$D,B122,评分明细!$X:$X,"&gt;=80"),IF(B122="",COUNTIFS(评分明细!$E:$E,A122,评分明细!$C:$C,C122,评分明细!$X:$X,"&gt;=80"),COUNTIFS(评分明细!$E:$E,A122,评分明细!$D:$D,B122,评分明细!$C:$C,C122,评分明细!$X:$X,"&gt;=80")))))</f>
        <v>0</v>
      </c>
    </row>
    <row r="123" spans="4:8">
      <c r="D123">
        <f>IF(A123="","",IF(AND(B123="",C123=""),COUNTIFS(评分明细!$E:$E,A123,评分明细!$X:$X,"&lt;&gt;"),IF(C123="",COUNTIFS(评分明细!$E:$E,A123,评分明细!$D:$D,B123,评分明细!$X:$X,"&lt;&gt;"),IF(B123="",COUNTIFS(评分明细!$E:$E,A123,评分明细!$C:$C,C123,评分明细!$X:$X,"&lt;&gt;"),COUNTIFS(评分明细!$E:$E,A123,评分明细!$D:$D,B123,评分明细!$C:$C,C123,评分明细!$X:$X,"&lt;&gt;")))))</f>
        <v>0</v>
      </c>
      <c r="E123">
        <f>IF(D123=0,"",IF(AND(B123="",C123=""),ROUND(AVERAGEIFS(评分明细!$X:$X,评分明细!$E:$E,A123,评分明细!$X:$X,"&lt;&gt;"),1),IF(C123="",ROUND(AVERAGEIFS(评分明细!$X:$X,评分明细!$E:$E,A123,评分明细!$D:$D,B123,评分明细!$X:$X,"&lt;&gt;"),1),IF(B123="",ROUND(AVERAGEIFS(评分明细!$X:$X,评分明细!$E:$E,A123,评分明细!$C:$C,C123,评分明细!$X:$X,"&lt;&gt;"),1),ROUND(AVERAGEIFS(评分明细!$X:$X,评分明细!$E:$E,A123,评分明细!$D:$D,B123,评分明细!$C:$C,C123,评分明细!$X:$X,"&lt;&gt;"),1)))))</f>
        <v>0</v>
      </c>
      <c r="F123">
        <f t="shared" si="2"/>
        <v>0</v>
      </c>
      <c r="G123">
        <f>IF(D123=0,"",IF(AND(B123="",C123=""),COUNTIFS(评分明细!$E:$E,A123,评分明细!$X:$X,"&gt;=60"),IF(C123="",COUNTIFS(评分明细!$E:$E,A123,评分明细!$D:$D,B123,评分明细!$X:$X,"&gt;=60"),IF(B123="",COUNTIFS(评分明细!$E:$E,A123,评分明细!$C:$C,C123,评分明细!$X:$X,"&gt;=60"),COUNTIFS(评分明细!$E:$E,A123,评分明细!$D:$D,B123,评分明细!$C:$C,C123,评分明细!$X:$X,"&gt;=60")))))</f>
        <v>0</v>
      </c>
      <c r="H123">
        <f>IF(D123=0,"",IF(AND(B123="",C123=""),COUNTIFS(评分明细!$E:$E,A123,评分明细!$X:$X,"&gt;=80"),IF(C123="",COUNTIFS(评分明细!$E:$E,A123,评分明细!$D:$D,B123,评分明细!$X:$X,"&gt;=80"),IF(B123="",COUNTIFS(评分明细!$E:$E,A123,评分明细!$C:$C,C123,评分明细!$X:$X,"&gt;=80"),COUNTIFS(评分明细!$E:$E,A123,评分明细!$D:$D,B123,评分明细!$C:$C,C123,评分明细!$X:$X,"&gt;=80")))))</f>
        <v>0</v>
      </c>
    </row>
    <row r="124" spans="4:8">
      <c r="D124">
        <f>IF(A124="","",IF(AND(B124="",C124=""),COUNTIFS(评分明细!$E:$E,A124,评分明细!$X:$X,"&lt;&gt;"),IF(C124="",COUNTIFS(评分明细!$E:$E,A124,评分明细!$D:$D,B124,评分明细!$X:$X,"&lt;&gt;"),IF(B124="",COUNTIFS(评分明细!$E:$E,A124,评分明细!$C:$C,C124,评分明细!$X:$X,"&lt;&gt;"),COUNTIFS(评分明细!$E:$E,A124,评分明细!$D:$D,B124,评分明细!$C:$C,C124,评分明细!$X:$X,"&lt;&gt;")))))</f>
        <v>0</v>
      </c>
      <c r="E124">
        <f>IF(D124=0,"",IF(AND(B124="",C124=""),ROUND(AVERAGEIFS(评分明细!$X:$X,评分明细!$E:$E,A124,评分明细!$X:$X,"&lt;&gt;"),1),IF(C124="",ROUND(AVERAGEIFS(评分明细!$X:$X,评分明细!$E:$E,A124,评分明细!$D:$D,B124,评分明细!$X:$X,"&lt;&gt;"),1),IF(B124="",ROUND(AVERAGEIFS(评分明细!$X:$X,评分明细!$E:$E,A124,评分明细!$C:$C,C124,评分明细!$X:$X,"&lt;&gt;"),1),ROUND(AVERAGEIFS(评分明细!$X:$X,评分明细!$E:$E,A124,评分明细!$D:$D,B124,评分明细!$C:$C,C124,评分明细!$X:$X,"&lt;&gt;"),1)))))</f>
        <v>0</v>
      </c>
      <c r="F124">
        <f t="shared" si="2"/>
        <v>0</v>
      </c>
      <c r="G124">
        <f>IF(D124=0,"",IF(AND(B124="",C124=""),COUNTIFS(评分明细!$E:$E,A124,评分明细!$X:$X,"&gt;=60"),IF(C124="",COUNTIFS(评分明细!$E:$E,A124,评分明细!$D:$D,B124,评分明细!$X:$X,"&gt;=60"),IF(B124="",COUNTIFS(评分明细!$E:$E,A124,评分明细!$C:$C,C124,评分明细!$X:$X,"&gt;=60"),COUNTIFS(评分明细!$E:$E,A124,评分明细!$D:$D,B124,评分明细!$C:$C,C124,评分明细!$X:$X,"&gt;=60")))))</f>
        <v>0</v>
      </c>
      <c r="H124">
        <f>IF(D124=0,"",IF(AND(B124="",C124=""),COUNTIFS(评分明细!$E:$E,A124,评分明细!$X:$X,"&gt;=80"),IF(C124="",COUNTIFS(评分明细!$E:$E,A124,评分明细!$D:$D,B124,评分明细!$X:$X,"&gt;=80"),IF(B124="",COUNTIFS(评分明细!$E:$E,A124,评分明细!$C:$C,C124,评分明细!$X:$X,"&gt;=80"),COUNTIFS(评分明细!$E:$E,A124,评分明细!$D:$D,B124,评分明细!$C:$C,C124,评分明细!$X:$X,"&gt;=80")))))</f>
        <v>0</v>
      </c>
    </row>
    <row r="125" spans="4:8">
      <c r="D125">
        <f>IF(A125="","",IF(AND(B125="",C125=""),COUNTIFS(评分明细!$E:$E,A125,评分明细!$X:$X,"&lt;&gt;"),IF(C125="",COUNTIFS(评分明细!$E:$E,A125,评分明细!$D:$D,B125,评分明细!$X:$X,"&lt;&gt;"),IF(B125="",COUNTIFS(评分明细!$E:$E,A125,评分明细!$C:$C,C125,评分明细!$X:$X,"&lt;&gt;"),COUNTIFS(评分明细!$E:$E,A125,评分明细!$D:$D,B125,评分明细!$C:$C,C125,评分明细!$X:$X,"&lt;&gt;")))))</f>
        <v>0</v>
      </c>
      <c r="E125">
        <f>IF(D125=0,"",IF(AND(B125="",C125=""),ROUND(AVERAGEIFS(评分明细!$X:$X,评分明细!$E:$E,A125,评分明细!$X:$X,"&lt;&gt;"),1),IF(C125="",ROUND(AVERAGEIFS(评分明细!$X:$X,评分明细!$E:$E,A125,评分明细!$D:$D,B125,评分明细!$X:$X,"&lt;&gt;"),1),IF(B125="",ROUND(AVERAGEIFS(评分明细!$X:$X,评分明细!$E:$E,A125,评分明细!$C:$C,C125,评分明细!$X:$X,"&lt;&gt;"),1),ROUND(AVERAGEIFS(评分明细!$X:$X,评分明细!$E:$E,A125,评分明细!$D:$D,B125,评分明细!$C:$C,C125,评分明细!$X:$X,"&lt;&gt;"),1)))))</f>
        <v>0</v>
      </c>
      <c r="F125">
        <f t="shared" si="2"/>
        <v>0</v>
      </c>
      <c r="G125">
        <f>IF(D125=0,"",IF(AND(B125="",C125=""),COUNTIFS(评分明细!$E:$E,A125,评分明细!$X:$X,"&gt;=60"),IF(C125="",COUNTIFS(评分明细!$E:$E,A125,评分明细!$D:$D,B125,评分明细!$X:$X,"&gt;=60"),IF(B125="",COUNTIFS(评分明细!$E:$E,A125,评分明细!$C:$C,C125,评分明细!$X:$X,"&gt;=60"),COUNTIFS(评分明细!$E:$E,A125,评分明细!$D:$D,B125,评分明细!$C:$C,C125,评分明细!$X:$X,"&gt;=60")))))</f>
        <v>0</v>
      </c>
      <c r="H125">
        <f>IF(D125=0,"",IF(AND(B125="",C125=""),COUNTIFS(评分明细!$E:$E,A125,评分明细!$X:$X,"&gt;=80"),IF(C125="",COUNTIFS(评分明细!$E:$E,A125,评分明细!$D:$D,B125,评分明细!$X:$X,"&gt;=80"),IF(B125="",COUNTIFS(评分明细!$E:$E,A125,评分明细!$C:$C,C125,评分明细!$X:$X,"&gt;=80"),COUNTIFS(评分明细!$E:$E,A125,评分明细!$D:$D,B125,评分明细!$C:$C,C125,评分明细!$X:$X,"&gt;=80")))))</f>
        <v>0</v>
      </c>
    </row>
    <row r="126" spans="4:8">
      <c r="D126">
        <f>IF(A126="","",IF(AND(B126="",C126=""),COUNTIFS(评分明细!$E:$E,A126,评分明细!$X:$X,"&lt;&gt;"),IF(C126="",COUNTIFS(评分明细!$E:$E,A126,评分明细!$D:$D,B126,评分明细!$X:$X,"&lt;&gt;"),IF(B126="",COUNTIFS(评分明细!$E:$E,A126,评分明细!$C:$C,C126,评分明细!$X:$X,"&lt;&gt;"),COUNTIFS(评分明细!$E:$E,A126,评分明细!$D:$D,B126,评分明细!$C:$C,C126,评分明细!$X:$X,"&lt;&gt;")))))</f>
        <v>0</v>
      </c>
      <c r="E126">
        <f>IF(D126=0,"",IF(AND(B126="",C126=""),ROUND(AVERAGEIFS(评分明细!$X:$X,评分明细!$E:$E,A126,评分明细!$X:$X,"&lt;&gt;"),1),IF(C126="",ROUND(AVERAGEIFS(评分明细!$X:$X,评分明细!$E:$E,A126,评分明细!$D:$D,B126,评分明细!$X:$X,"&lt;&gt;"),1),IF(B126="",ROUND(AVERAGEIFS(评分明细!$X:$X,评分明细!$E:$E,A126,评分明细!$C:$C,C126,评分明细!$X:$X,"&lt;&gt;"),1),ROUND(AVERAGEIFS(评分明细!$X:$X,评分明细!$E:$E,A126,评分明细!$D:$D,B126,评分明细!$C:$C,C126,评分明细!$X:$X,"&lt;&gt;"),1)))))</f>
        <v>0</v>
      </c>
      <c r="F126">
        <f t="shared" si="2"/>
        <v>0</v>
      </c>
      <c r="G126">
        <f>IF(D126=0,"",IF(AND(B126="",C126=""),COUNTIFS(评分明细!$E:$E,A126,评分明细!$X:$X,"&gt;=60"),IF(C126="",COUNTIFS(评分明细!$E:$E,A126,评分明细!$D:$D,B126,评分明细!$X:$X,"&gt;=60"),IF(B126="",COUNTIFS(评分明细!$E:$E,A126,评分明细!$C:$C,C126,评分明细!$X:$X,"&gt;=60"),COUNTIFS(评分明细!$E:$E,A126,评分明细!$D:$D,B126,评分明细!$C:$C,C126,评分明细!$X:$X,"&gt;=60")))))</f>
        <v>0</v>
      </c>
      <c r="H126">
        <f>IF(D126=0,"",IF(AND(B126="",C126=""),COUNTIFS(评分明细!$E:$E,A126,评分明细!$X:$X,"&gt;=80"),IF(C126="",COUNTIFS(评分明细!$E:$E,A126,评分明细!$D:$D,B126,评分明细!$X:$X,"&gt;=80"),IF(B126="",COUNTIFS(评分明细!$E:$E,A126,评分明细!$C:$C,C126,评分明细!$X:$X,"&gt;=80"),COUNTIFS(评分明细!$E:$E,A126,评分明细!$D:$D,B126,评分明细!$C:$C,C126,评分明细!$X:$X,"&gt;=80")))))</f>
        <v>0</v>
      </c>
    </row>
    <row r="127" spans="4:8">
      <c r="D127">
        <f>IF(A127="","",IF(AND(B127="",C127=""),COUNTIFS(评分明细!$E:$E,A127,评分明细!$X:$X,"&lt;&gt;"),IF(C127="",COUNTIFS(评分明细!$E:$E,A127,评分明细!$D:$D,B127,评分明细!$X:$X,"&lt;&gt;"),IF(B127="",COUNTIFS(评分明细!$E:$E,A127,评分明细!$C:$C,C127,评分明细!$X:$X,"&lt;&gt;"),COUNTIFS(评分明细!$E:$E,A127,评分明细!$D:$D,B127,评分明细!$C:$C,C127,评分明细!$X:$X,"&lt;&gt;")))))</f>
        <v>0</v>
      </c>
      <c r="E127">
        <f>IF(D127=0,"",IF(AND(B127="",C127=""),ROUND(AVERAGEIFS(评分明细!$X:$X,评分明细!$E:$E,A127,评分明细!$X:$X,"&lt;&gt;"),1),IF(C127="",ROUND(AVERAGEIFS(评分明细!$X:$X,评分明细!$E:$E,A127,评分明细!$D:$D,B127,评分明细!$X:$X,"&lt;&gt;"),1),IF(B127="",ROUND(AVERAGEIFS(评分明细!$X:$X,评分明细!$E:$E,A127,评分明细!$C:$C,C127,评分明细!$X:$X,"&lt;&gt;"),1),ROUND(AVERAGEIFS(评分明细!$X:$X,评分明细!$E:$E,A127,评分明细!$D:$D,B127,评分明细!$C:$C,C127,评分明细!$X:$X,"&lt;&gt;"),1)))))</f>
        <v>0</v>
      </c>
      <c r="F127">
        <f t="shared" si="2"/>
        <v>0</v>
      </c>
      <c r="G127">
        <f>IF(D127=0,"",IF(AND(B127="",C127=""),COUNTIFS(评分明细!$E:$E,A127,评分明细!$X:$X,"&gt;=60"),IF(C127="",COUNTIFS(评分明细!$E:$E,A127,评分明细!$D:$D,B127,评分明细!$X:$X,"&gt;=60"),IF(B127="",COUNTIFS(评分明细!$E:$E,A127,评分明细!$C:$C,C127,评分明细!$X:$X,"&gt;=60"),COUNTIFS(评分明细!$E:$E,A127,评分明细!$D:$D,B127,评分明细!$C:$C,C127,评分明细!$X:$X,"&gt;=60")))))</f>
        <v>0</v>
      </c>
      <c r="H127">
        <f>IF(D127=0,"",IF(AND(B127="",C127=""),COUNTIFS(评分明细!$E:$E,A127,评分明细!$X:$X,"&gt;=80"),IF(C127="",COUNTIFS(评分明细!$E:$E,A127,评分明细!$D:$D,B127,评分明细!$X:$X,"&gt;=80"),IF(B127="",COUNTIFS(评分明细!$E:$E,A127,评分明细!$C:$C,C127,评分明细!$X:$X,"&gt;=80"),COUNTIFS(评分明细!$E:$E,A127,评分明细!$D:$D,B127,评分明细!$C:$C,C127,评分明细!$X:$X,"&gt;=80")))))</f>
        <v>0</v>
      </c>
    </row>
    <row r="128" spans="4:8">
      <c r="D128">
        <f>IF(A128="","",IF(AND(B128="",C128=""),COUNTIFS(评分明细!$E:$E,A128,评分明细!$X:$X,"&lt;&gt;"),IF(C128="",COUNTIFS(评分明细!$E:$E,A128,评分明细!$D:$D,B128,评分明细!$X:$X,"&lt;&gt;"),IF(B128="",COUNTIFS(评分明细!$E:$E,A128,评分明细!$C:$C,C128,评分明细!$X:$X,"&lt;&gt;"),COUNTIFS(评分明细!$E:$E,A128,评分明细!$D:$D,B128,评分明细!$C:$C,C128,评分明细!$X:$X,"&lt;&gt;")))))</f>
        <v>0</v>
      </c>
      <c r="E128">
        <f>IF(D128=0,"",IF(AND(B128="",C128=""),ROUND(AVERAGEIFS(评分明细!$X:$X,评分明细!$E:$E,A128,评分明细!$X:$X,"&lt;&gt;"),1),IF(C128="",ROUND(AVERAGEIFS(评分明细!$X:$X,评分明细!$E:$E,A128,评分明细!$D:$D,B128,评分明细!$X:$X,"&lt;&gt;"),1),IF(B128="",ROUND(AVERAGEIFS(评分明细!$X:$X,评分明细!$E:$E,A128,评分明细!$C:$C,C128,评分明细!$X:$X,"&lt;&gt;"),1),ROUND(AVERAGEIFS(评分明细!$X:$X,评分明细!$E:$E,A128,评分明细!$D:$D,B128,评分明细!$C:$C,C128,评分明细!$X:$X,"&lt;&gt;"),1)))))</f>
        <v>0</v>
      </c>
      <c r="F128">
        <f t="shared" si="2"/>
        <v>0</v>
      </c>
      <c r="G128">
        <f>IF(D128=0,"",IF(AND(B128="",C128=""),COUNTIFS(评分明细!$E:$E,A128,评分明细!$X:$X,"&gt;=60"),IF(C128="",COUNTIFS(评分明细!$E:$E,A128,评分明细!$D:$D,B128,评分明细!$X:$X,"&gt;=60"),IF(B128="",COUNTIFS(评分明细!$E:$E,A128,评分明细!$C:$C,C128,评分明细!$X:$X,"&gt;=60"),COUNTIFS(评分明细!$E:$E,A128,评分明细!$D:$D,B128,评分明细!$C:$C,C128,评分明细!$X:$X,"&gt;=60")))))</f>
        <v>0</v>
      </c>
      <c r="H128">
        <f>IF(D128=0,"",IF(AND(B128="",C128=""),COUNTIFS(评分明细!$E:$E,A128,评分明细!$X:$X,"&gt;=80"),IF(C128="",COUNTIFS(评分明细!$E:$E,A128,评分明细!$D:$D,B128,评分明细!$X:$X,"&gt;=80"),IF(B128="",COUNTIFS(评分明细!$E:$E,A128,评分明细!$C:$C,C128,评分明细!$X:$X,"&gt;=80"),COUNTIFS(评分明细!$E:$E,A128,评分明细!$D:$D,B128,评分明细!$C:$C,C128,评分明细!$X:$X,"&gt;=80")))))</f>
        <v>0</v>
      </c>
    </row>
    <row r="129" spans="4:8">
      <c r="D129">
        <f>IF(A129="","",IF(AND(B129="",C129=""),COUNTIFS(评分明细!$E:$E,A129,评分明细!$X:$X,"&lt;&gt;"),IF(C129="",COUNTIFS(评分明细!$E:$E,A129,评分明细!$D:$D,B129,评分明细!$X:$X,"&lt;&gt;"),IF(B129="",COUNTIFS(评分明细!$E:$E,A129,评分明细!$C:$C,C129,评分明细!$X:$X,"&lt;&gt;"),COUNTIFS(评分明细!$E:$E,A129,评分明细!$D:$D,B129,评分明细!$C:$C,C129,评分明细!$X:$X,"&lt;&gt;")))))</f>
        <v>0</v>
      </c>
      <c r="E129">
        <f>IF(D129=0,"",IF(AND(B129="",C129=""),ROUND(AVERAGEIFS(评分明细!$X:$X,评分明细!$E:$E,A129,评分明细!$X:$X,"&lt;&gt;"),1),IF(C129="",ROUND(AVERAGEIFS(评分明细!$X:$X,评分明细!$E:$E,A129,评分明细!$D:$D,B129,评分明细!$X:$X,"&lt;&gt;"),1),IF(B129="",ROUND(AVERAGEIFS(评分明细!$X:$X,评分明细!$E:$E,A129,评分明细!$C:$C,C129,评分明细!$X:$X,"&lt;&gt;"),1),ROUND(AVERAGEIFS(评分明细!$X:$X,评分明细!$E:$E,A129,评分明细!$D:$D,B129,评分明细!$C:$C,C129,评分明细!$X:$X,"&lt;&gt;"),1)))))</f>
        <v>0</v>
      </c>
      <c r="F129">
        <f t="shared" si="2"/>
        <v>0</v>
      </c>
      <c r="G129">
        <f>IF(D129=0,"",IF(AND(B129="",C129=""),COUNTIFS(评分明细!$E:$E,A129,评分明细!$X:$X,"&gt;=60"),IF(C129="",COUNTIFS(评分明细!$E:$E,A129,评分明细!$D:$D,B129,评分明细!$X:$X,"&gt;=60"),IF(B129="",COUNTIFS(评分明细!$E:$E,A129,评分明细!$C:$C,C129,评分明细!$X:$X,"&gt;=60"),COUNTIFS(评分明细!$E:$E,A129,评分明细!$D:$D,B129,评分明细!$C:$C,C129,评分明细!$X:$X,"&gt;=60")))))</f>
        <v>0</v>
      </c>
      <c r="H129">
        <f>IF(D129=0,"",IF(AND(B129="",C129=""),COUNTIFS(评分明细!$E:$E,A129,评分明细!$X:$X,"&gt;=80"),IF(C129="",COUNTIFS(评分明细!$E:$E,A129,评分明细!$D:$D,B129,评分明细!$X:$X,"&gt;=80"),IF(B129="",COUNTIFS(评分明细!$E:$E,A129,评分明细!$C:$C,C129,评分明细!$X:$X,"&gt;=80"),COUNTIFS(评分明细!$E:$E,A129,评分明细!$D:$D,B129,评分明细!$C:$C,C129,评分明细!$X:$X,"&gt;=80")))))</f>
        <v>0</v>
      </c>
    </row>
    <row r="130" spans="4:8">
      <c r="D130">
        <f>IF(A130="","",IF(AND(B130="",C130=""),COUNTIFS(评分明细!$E:$E,A130,评分明细!$X:$X,"&lt;&gt;"),IF(C130="",COUNTIFS(评分明细!$E:$E,A130,评分明细!$D:$D,B130,评分明细!$X:$X,"&lt;&gt;"),IF(B130="",COUNTIFS(评分明细!$E:$E,A130,评分明细!$C:$C,C130,评分明细!$X:$X,"&lt;&gt;"),COUNTIFS(评分明细!$E:$E,A130,评分明细!$D:$D,B130,评分明细!$C:$C,C130,评分明细!$X:$X,"&lt;&gt;")))))</f>
        <v>0</v>
      </c>
      <c r="E130">
        <f>IF(D130=0,"",IF(AND(B130="",C130=""),ROUND(AVERAGEIFS(评分明细!$X:$X,评分明细!$E:$E,A130,评分明细!$X:$X,"&lt;&gt;"),1),IF(C130="",ROUND(AVERAGEIFS(评分明细!$X:$X,评分明细!$E:$E,A130,评分明细!$D:$D,B130,评分明细!$X:$X,"&lt;&gt;"),1),IF(B130="",ROUND(AVERAGEIFS(评分明细!$X:$X,评分明细!$E:$E,A130,评分明细!$C:$C,C130,评分明细!$X:$X,"&lt;&gt;"),1),ROUND(AVERAGEIFS(评分明细!$X:$X,评分明细!$E:$E,A130,评分明细!$D:$D,B130,评分明细!$C:$C,C130,评分明细!$X:$X,"&lt;&gt;"),1)))))</f>
        <v>0</v>
      </c>
      <c r="F130">
        <f t="shared" si="2"/>
        <v>0</v>
      </c>
      <c r="G130">
        <f>IF(D130=0,"",IF(AND(B130="",C130=""),COUNTIFS(评分明细!$E:$E,A130,评分明细!$X:$X,"&gt;=60"),IF(C130="",COUNTIFS(评分明细!$E:$E,A130,评分明细!$D:$D,B130,评分明细!$X:$X,"&gt;=60"),IF(B130="",COUNTIFS(评分明细!$E:$E,A130,评分明细!$C:$C,C130,评分明细!$X:$X,"&gt;=60"),COUNTIFS(评分明细!$E:$E,A130,评分明细!$D:$D,B130,评分明细!$C:$C,C130,评分明细!$X:$X,"&gt;=60")))))</f>
        <v>0</v>
      </c>
      <c r="H130">
        <f>IF(D130=0,"",IF(AND(B130="",C130=""),COUNTIFS(评分明细!$E:$E,A130,评分明细!$X:$X,"&gt;=80"),IF(C130="",COUNTIFS(评分明细!$E:$E,A130,评分明细!$D:$D,B130,评分明细!$X:$X,"&gt;=80"),IF(B130="",COUNTIFS(评分明细!$E:$E,A130,评分明细!$C:$C,C130,评分明细!$X:$X,"&gt;=80"),COUNTIFS(评分明细!$E:$E,A130,评分明细!$D:$D,B130,评分明细!$C:$C,C130,评分明细!$X:$X,"&gt;=80")))))</f>
        <v>0</v>
      </c>
    </row>
    <row r="131" spans="4:8">
      <c r="D131">
        <f>IF(A131="","",IF(AND(B131="",C131=""),COUNTIFS(评分明细!$E:$E,A131,评分明细!$X:$X,"&lt;&gt;"),IF(C131="",COUNTIFS(评分明细!$E:$E,A131,评分明细!$D:$D,B131,评分明细!$X:$X,"&lt;&gt;"),IF(B131="",COUNTIFS(评分明细!$E:$E,A131,评分明细!$C:$C,C131,评分明细!$X:$X,"&lt;&gt;"),COUNTIFS(评分明细!$E:$E,A131,评分明细!$D:$D,B131,评分明细!$C:$C,C131,评分明细!$X:$X,"&lt;&gt;")))))</f>
        <v>0</v>
      </c>
      <c r="E131">
        <f>IF(D131=0,"",IF(AND(B131="",C131=""),ROUND(AVERAGEIFS(评分明细!$X:$X,评分明细!$E:$E,A131,评分明细!$X:$X,"&lt;&gt;"),1),IF(C131="",ROUND(AVERAGEIFS(评分明细!$X:$X,评分明细!$E:$E,A131,评分明细!$D:$D,B131,评分明细!$X:$X,"&lt;&gt;"),1),IF(B131="",ROUND(AVERAGEIFS(评分明细!$X:$X,评分明细!$E:$E,A131,评分明细!$C:$C,C131,评分明细!$X:$X,"&lt;&gt;"),1),ROUND(AVERAGEIFS(评分明细!$X:$X,评分明细!$E:$E,A131,评分明细!$D:$D,B131,评分明细!$C:$C,C131,评分明细!$X:$X,"&lt;&gt;"),1)))))</f>
        <v>0</v>
      </c>
      <c r="F131">
        <f t="shared" si="2"/>
        <v>0</v>
      </c>
      <c r="G131">
        <f>IF(D131=0,"",IF(AND(B131="",C131=""),COUNTIFS(评分明细!$E:$E,A131,评分明细!$X:$X,"&gt;=60"),IF(C131="",COUNTIFS(评分明细!$E:$E,A131,评分明细!$D:$D,B131,评分明细!$X:$X,"&gt;=60"),IF(B131="",COUNTIFS(评分明细!$E:$E,A131,评分明细!$C:$C,C131,评分明细!$X:$X,"&gt;=60"),COUNTIFS(评分明细!$E:$E,A131,评分明细!$D:$D,B131,评分明细!$C:$C,C131,评分明细!$X:$X,"&gt;=60")))))</f>
        <v>0</v>
      </c>
      <c r="H131">
        <f>IF(D131=0,"",IF(AND(B131="",C131=""),COUNTIFS(评分明细!$E:$E,A131,评分明细!$X:$X,"&gt;=80"),IF(C131="",COUNTIFS(评分明细!$E:$E,A131,评分明细!$D:$D,B131,评分明细!$X:$X,"&gt;=80"),IF(B131="",COUNTIFS(评分明细!$E:$E,A131,评分明细!$C:$C,C131,评分明细!$X:$X,"&gt;=80"),COUNTIFS(评分明细!$E:$E,A131,评分明细!$D:$D,B131,评分明细!$C:$C,C131,评分明细!$X:$X,"&gt;=80")))))</f>
        <v>0</v>
      </c>
    </row>
    <row r="132" spans="4:8">
      <c r="D132">
        <f>IF(A132="","",IF(AND(B132="",C132=""),COUNTIFS(评分明细!$E:$E,A132,评分明细!$X:$X,"&lt;&gt;"),IF(C132="",COUNTIFS(评分明细!$E:$E,A132,评分明细!$D:$D,B132,评分明细!$X:$X,"&lt;&gt;"),IF(B132="",COUNTIFS(评分明细!$E:$E,A132,评分明细!$C:$C,C132,评分明细!$X:$X,"&lt;&gt;"),COUNTIFS(评分明细!$E:$E,A132,评分明细!$D:$D,B132,评分明细!$C:$C,C132,评分明细!$X:$X,"&lt;&gt;")))))</f>
        <v>0</v>
      </c>
      <c r="E132">
        <f>IF(D132=0,"",IF(AND(B132="",C132=""),ROUND(AVERAGEIFS(评分明细!$X:$X,评分明细!$E:$E,A132,评分明细!$X:$X,"&lt;&gt;"),1),IF(C132="",ROUND(AVERAGEIFS(评分明细!$X:$X,评分明细!$E:$E,A132,评分明细!$D:$D,B132,评分明细!$X:$X,"&lt;&gt;"),1),IF(B132="",ROUND(AVERAGEIFS(评分明细!$X:$X,评分明细!$E:$E,A132,评分明细!$C:$C,C132,评分明细!$X:$X,"&lt;&gt;"),1),ROUND(AVERAGEIFS(评分明细!$X:$X,评分明细!$E:$E,A132,评分明细!$D:$D,B132,评分明细!$C:$C,C132,评分明细!$X:$X,"&lt;&gt;"),1)))))</f>
        <v>0</v>
      </c>
      <c r="F132">
        <f t="shared" ref="F132:F167" si="3">IF(E132="","",ROUND(100-E132,1))</f>
        <v>0</v>
      </c>
      <c r="G132">
        <f>IF(D132=0,"",IF(AND(B132="",C132=""),COUNTIFS(评分明细!$E:$E,A132,评分明细!$X:$X,"&gt;=60"),IF(C132="",COUNTIFS(评分明细!$E:$E,A132,评分明细!$D:$D,B132,评分明细!$X:$X,"&gt;=60"),IF(B132="",COUNTIFS(评分明细!$E:$E,A132,评分明细!$C:$C,C132,评分明细!$X:$X,"&gt;=60"),COUNTIFS(评分明细!$E:$E,A132,评分明细!$D:$D,B132,评分明细!$C:$C,C132,评分明细!$X:$X,"&gt;=60")))))</f>
        <v>0</v>
      </c>
      <c r="H132">
        <f>IF(D132=0,"",IF(AND(B132="",C132=""),COUNTIFS(评分明细!$E:$E,A132,评分明细!$X:$X,"&gt;=80"),IF(C132="",COUNTIFS(评分明细!$E:$E,A132,评分明细!$D:$D,B132,评分明细!$X:$X,"&gt;=80"),IF(B132="",COUNTIFS(评分明细!$E:$E,A132,评分明细!$C:$C,C132,评分明细!$X:$X,"&gt;=80"),COUNTIFS(评分明细!$E:$E,A132,评分明细!$D:$D,B132,评分明细!$C:$C,C132,评分明细!$X:$X,"&gt;=80")))))</f>
        <v>0</v>
      </c>
    </row>
    <row r="133" spans="4:8">
      <c r="D133">
        <f>IF(A133="","",IF(AND(B133="",C133=""),COUNTIFS(评分明细!$E:$E,A133,评分明细!$X:$X,"&lt;&gt;"),IF(C133="",COUNTIFS(评分明细!$E:$E,A133,评分明细!$D:$D,B133,评分明细!$X:$X,"&lt;&gt;"),IF(B133="",COUNTIFS(评分明细!$E:$E,A133,评分明细!$C:$C,C133,评分明细!$X:$X,"&lt;&gt;"),COUNTIFS(评分明细!$E:$E,A133,评分明细!$D:$D,B133,评分明细!$C:$C,C133,评分明细!$X:$X,"&lt;&gt;")))))</f>
        <v>0</v>
      </c>
      <c r="E133">
        <f>IF(D133=0,"",IF(AND(B133="",C133=""),ROUND(AVERAGEIFS(评分明细!$X:$X,评分明细!$E:$E,A133,评分明细!$X:$X,"&lt;&gt;"),1),IF(C133="",ROUND(AVERAGEIFS(评分明细!$X:$X,评分明细!$E:$E,A133,评分明细!$D:$D,B133,评分明细!$X:$X,"&lt;&gt;"),1),IF(B133="",ROUND(AVERAGEIFS(评分明细!$X:$X,评分明细!$E:$E,A133,评分明细!$C:$C,C133,评分明细!$X:$X,"&lt;&gt;"),1),ROUND(AVERAGEIFS(评分明细!$X:$X,评分明细!$E:$E,A133,评分明细!$D:$D,B133,评分明细!$C:$C,C133,评分明细!$X:$X,"&lt;&gt;"),1)))))</f>
        <v>0</v>
      </c>
      <c r="F133">
        <f t="shared" si="3"/>
        <v>0</v>
      </c>
      <c r="G133">
        <f>IF(D133=0,"",IF(AND(B133="",C133=""),COUNTIFS(评分明细!$E:$E,A133,评分明细!$X:$X,"&gt;=60"),IF(C133="",COUNTIFS(评分明细!$E:$E,A133,评分明细!$D:$D,B133,评分明细!$X:$X,"&gt;=60"),IF(B133="",COUNTIFS(评分明细!$E:$E,A133,评分明细!$C:$C,C133,评分明细!$X:$X,"&gt;=60"),COUNTIFS(评分明细!$E:$E,A133,评分明细!$D:$D,B133,评分明细!$C:$C,C133,评分明细!$X:$X,"&gt;=60")))))</f>
        <v>0</v>
      </c>
      <c r="H133">
        <f>IF(D133=0,"",IF(AND(B133="",C133=""),COUNTIFS(评分明细!$E:$E,A133,评分明细!$X:$X,"&gt;=80"),IF(C133="",COUNTIFS(评分明细!$E:$E,A133,评分明细!$D:$D,B133,评分明细!$X:$X,"&gt;=80"),IF(B133="",COUNTIFS(评分明细!$E:$E,A133,评分明细!$C:$C,C133,评分明细!$X:$X,"&gt;=80"),COUNTIFS(评分明细!$E:$E,A133,评分明细!$D:$D,B133,评分明细!$C:$C,C133,评分明细!$X:$X,"&gt;=80")))))</f>
        <v>0</v>
      </c>
    </row>
    <row r="134" spans="4:8">
      <c r="D134">
        <f>IF(A134="","",IF(AND(B134="",C134=""),COUNTIFS(评分明细!$E:$E,A134,评分明细!$X:$X,"&lt;&gt;"),IF(C134="",COUNTIFS(评分明细!$E:$E,A134,评分明细!$D:$D,B134,评分明细!$X:$X,"&lt;&gt;"),IF(B134="",COUNTIFS(评分明细!$E:$E,A134,评分明细!$C:$C,C134,评分明细!$X:$X,"&lt;&gt;"),COUNTIFS(评分明细!$E:$E,A134,评分明细!$D:$D,B134,评分明细!$C:$C,C134,评分明细!$X:$X,"&lt;&gt;")))))</f>
        <v>0</v>
      </c>
      <c r="E134">
        <f>IF(D134=0,"",IF(AND(B134="",C134=""),ROUND(AVERAGEIFS(评分明细!$X:$X,评分明细!$E:$E,A134,评分明细!$X:$X,"&lt;&gt;"),1),IF(C134="",ROUND(AVERAGEIFS(评分明细!$X:$X,评分明细!$E:$E,A134,评分明细!$D:$D,B134,评分明细!$X:$X,"&lt;&gt;"),1),IF(B134="",ROUND(AVERAGEIFS(评分明细!$X:$X,评分明细!$E:$E,A134,评分明细!$C:$C,C134,评分明细!$X:$X,"&lt;&gt;"),1),ROUND(AVERAGEIFS(评分明细!$X:$X,评分明细!$E:$E,A134,评分明细!$D:$D,B134,评分明细!$C:$C,C134,评分明细!$X:$X,"&lt;&gt;"),1)))))</f>
        <v>0</v>
      </c>
      <c r="F134">
        <f t="shared" si="3"/>
        <v>0</v>
      </c>
      <c r="G134">
        <f>IF(D134=0,"",IF(AND(B134="",C134=""),COUNTIFS(评分明细!$E:$E,A134,评分明细!$X:$X,"&gt;=60"),IF(C134="",COUNTIFS(评分明细!$E:$E,A134,评分明细!$D:$D,B134,评分明细!$X:$X,"&gt;=60"),IF(B134="",COUNTIFS(评分明细!$E:$E,A134,评分明细!$C:$C,C134,评分明细!$X:$X,"&gt;=60"),COUNTIFS(评分明细!$E:$E,A134,评分明细!$D:$D,B134,评分明细!$C:$C,C134,评分明细!$X:$X,"&gt;=60")))))</f>
        <v>0</v>
      </c>
      <c r="H134">
        <f>IF(D134=0,"",IF(AND(B134="",C134=""),COUNTIFS(评分明细!$E:$E,A134,评分明细!$X:$X,"&gt;=80"),IF(C134="",COUNTIFS(评分明细!$E:$E,A134,评分明细!$D:$D,B134,评分明细!$X:$X,"&gt;=80"),IF(B134="",COUNTIFS(评分明细!$E:$E,A134,评分明细!$C:$C,C134,评分明细!$X:$X,"&gt;=80"),COUNTIFS(评分明细!$E:$E,A134,评分明细!$D:$D,B134,评分明细!$C:$C,C134,评分明细!$X:$X,"&gt;=80")))))</f>
        <v>0</v>
      </c>
    </row>
    <row r="135" spans="4:8">
      <c r="D135">
        <f>IF(A135="","",IF(AND(B135="",C135=""),COUNTIFS(评分明细!$E:$E,A135,评分明细!$X:$X,"&lt;&gt;"),IF(C135="",COUNTIFS(评分明细!$E:$E,A135,评分明细!$D:$D,B135,评分明细!$X:$X,"&lt;&gt;"),IF(B135="",COUNTIFS(评分明细!$E:$E,A135,评分明细!$C:$C,C135,评分明细!$X:$X,"&lt;&gt;"),COUNTIFS(评分明细!$E:$E,A135,评分明细!$D:$D,B135,评分明细!$C:$C,C135,评分明细!$X:$X,"&lt;&gt;")))))</f>
        <v>0</v>
      </c>
      <c r="E135">
        <f>IF(D135=0,"",IF(AND(B135="",C135=""),ROUND(AVERAGEIFS(评分明细!$X:$X,评分明细!$E:$E,A135,评分明细!$X:$X,"&lt;&gt;"),1),IF(C135="",ROUND(AVERAGEIFS(评分明细!$X:$X,评分明细!$E:$E,A135,评分明细!$D:$D,B135,评分明细!$X:$X,"&lt;&gt;"),1),IF(B135="",ROUND(AVERAGEIFS(评分明细!$X:$X,评分明细!$E:$E,A135,评分明细!$C:$C,C135,评分明细!$X:$X,"&lt;&gt;"),1),ROUND(AVERAGEIFS(评分明细!$X:$X,评分明细!$E:$E,A135,评分明细!$D:$D,B135,评分明细!$C:$C,C135,评分明细!$X:$X,"&lt;&gt;"),1)))))</f>
        <v>0</v>
      </c>
      <c r="F135">
        <f t="shared" si="3"/>
        <v>0</v>
      </c>
      <c r="G135">
        <f>IF(D135=0,"",IF(AND(B135="",C135=""),COUNTIFS(评分明细!$E:$E,A135,评分明细!$X:$X,"&gt;=60"),IF(C135="",COUNTIFS(评分明细!$E:$E,A135,评分明细!$D:$D,B135,评分明细!$X:$X,"&gt;=60"),IF(B135="",COUNTIFS(评分明细!$E:$E,A135,评分明细!$C:$C,C135,评分明细!$X:$X,"&gt;=60"),COUNTIFS(评分明细!$E:$E,A135,评分明细!$D:$D,B135,评分明细!$C:$C,C135,评分明细!$X:$X,"&gt;=60")))))</f>
        <v>0</v>
      </c>
      <c r="H135">
        <f>IF(D135=0,"",IF(AND(B135="",C135=""),COUNTIFS(评分明细!$E:$E,A135,评分明细!$X:$X,"&gt;=80"),IF(C135="",COUNTIFS(评分明细!$E:$E,A135,评分明细!$D:$D,B135,评分明细!$X:$X,"&gt;=80"),IF(B135="",COUNTIFS(评分明细!$E:$E,A135,评分明细!$C:$C,C135,评分明细!$X:$X,"&gt;=80"),COUNTIFS(评分明细!$E:$E,A135,评分明细!$D:$D,B135,评分明细!$C:$C,C135,评分明细!$X:$X,"&gt;=80")))))</f>
        <v>0</v>
      </c>
    </row>
    <row r="136" spans="4:8">
      <c r="D136">
        <f>IF(A136="","",IF(AND(B136="",C136=""),COUNTIFS(评分明细!$E:$E,A136,评分明细!$X:$X,"&lt;&gt;"),IF(C136="",COUNTIFS(评分明细!$E:$E,A136,评分明细!$D:$D,B136,评分明细!$X:$X,"&lt;&gt;"),IF(B136="",COUNTIFS(评分明细!$E:$E,A136,评分明细!$C:$C,C136,评分明细!$X:$X,"&lt;&gt;"),COUNTIFS(评分明细!$E:$E,A136,评分明细!$D:$D,B136,评分明细!$C:$C,C136,评分明细!$X:$X,"&lt;&gt;")))))</f>
        <v>0</v>
      </c>
      <c r="E136">
        <f>IF(D136=0,"",IF(AND(B136="",C136=""),ROUND(AVERAGEIFS(评分明细!$X:$X,评分明细!$E:$E,A136,评分明细!$X:$X,"&lt;&gt;"),1),IF(C136="",ROUND(AVERAGEIFS(评分明细!$X:$X,评分明细!$E:$E,A136,评分明细!$D:$D,B136,评分明细!$X:$X,"&lt;&gt;"),1),IF(B136="",ROUND(AVERAGEIFS(评分明细!$X:$X,评分明细!$E:$E,A136,评分明细!$C:$C,C136,评分明细!$X:$X,"&lt;&gt;"),1),ROUND(AVERAGEIFS(评分明细!$X:$X,评分明细!$E:$E,A136,评分明细!$D:$D,B136,评分明细!$C:$C,C136,评分明细!$X:$X,"&lt;&gt;"),1)))))</f>
        <v>0</v>
      </c>
      <c r="F136">
        <f t="shared" si="3"/>
        <v>0</v>
      </c>
      <c r="G136">
        <f>IF(D136=0,"",IF(AND(B136="",C136=""),COUNTIFS(评分明细!$E:$E,A136,评分明细!$X:$X,"&gt;=60"),IF(C136="",COUNTIFS(评分明细!$E:$E,A136,评分明细!$D:$D,B136,评分明细!$X:$X,"&gt;=60"),IF(B136="",COUNTIFS(评分明细!$E:$E,A136,评分明细!$C:$C,C136,评分明细!$X:$X,"&gt;=60"),COUNTIFS(评分明细!$E:$E,A136,评分明细!$D:$D,B136,评分明细!$C:$C,C136,评分明细!$X:$X,"&gt;=60")))))</f>
        <v>0</v>
      </c>
      <c r="H136">
        <f>IF(D136=0,"",IF(AND(B136="",C136=""),COUNTIFS(评分明细!$E:$E,A136,评分明细!$X:$X,"&gt;=80"),IF(C136="",COUNTIFS(评分明细!$E:$E,A136,评分明细!$D:$D,B136,评分明细!$X:$X,"&gt;=80"),IF(B136="",COUNTIFS(评分明细!$E:$E,A136,评分明细!$C:$C,C136,评分明细!$X:$X,"&gt;=80"),COUNTIFS(评分明细!$E:$E,A136,评分明细!$D:$D,B136,评分明细!$C:$C,C136,评分明细!$X:$X,"&gt;=80")))))</f>
        <v>0</v>
      </c>
    </row>
    <row r="137" spans="4:8">
      <c r="D137">
        <f>IF(A137="","",IF(AND(B137="",C137=""),COUNTIFS(评分明细!$E:$E,A137,评分明细!$X:$X,"&lt;&gt;"),IF(C137="",COUNTIFS(评分明细!$E:$E,A137,评分明细!$D:$D,B137,评分明细!$X:$X,"&lt;&gt;"),IF(B137="",COUNTIFS(评分明细!$E:$E,A137,评分明细!$C:$C,C137,评分明细!$X:$X,"&lt;&gt;"),COUNTIFS(评分明细!$E:$E,A137,评分明细!$D:$D,B137,评分明细!$C:$C,C137,评分明细!$X:$X,"&lt;&gt;")))))</f>
        <v>0</v>
      </c>
      <c r="E137">
        <f>IF(D137=0,"",IF(AND(B137="",C137=""),ROUND(AVERAGEIFS(评分明细!$X:$X,评分明细!$E:$E,A137,评分明细!$X:$X,"&lt;&gt;"),1),IF(C137="",ROUND(AVERAGEIFS(评分明细!$X:$X,评分明细!$E:$E,A137,评分明细!$D:$D,B137,评分明细!$X:$X,"&lt;&gt;"),1),IF(B137="",ROUND(AVERAGEIFS(评分明细!$X:$X,评分明细!$E:$E,A137,评分明细!$C:$C,C137,评分明细!$X:$X,"&lt;&gt;"),1),ROUND(AVERAGEIFS(评分明细!$X:$X,评分明细!$E:$E,A137,评分明细!$D:$D,B137,评分明细!$C:$C,C137,评分明细!$X:$X,"&lt;&gt;"),1)))))</f>
        <v>0</v>
      </c>
      <c r="F137">
        <f t="shared" si="3"/>
        <v>0</v>
      </c>
      <c r="G137">
        <f>IF(D137=0,"",IF(AND(B137="",C137=""),COUNTIFS(评分明细!$E:$E,A137,评分明细!$X:$X,"&gt;=60"),IF(C137="",COUNTIFS(评分明细!$E:$E,A137,评分明细!$D:$D,B137,评分明细!$X:$X,"&gt;=60"),IF(B137="",COUNTIFS(评分明细!$E:$E,A137,评分明细!$C:$C,C137,评分明细!$X:$X,"&gt;=60"),COUNTIFS(评分明细!$E:$E,A137,评分明细!$D:$D,B137,评分明细!$C:$C,C137,评分明细!$X:$X,"&gt;=60")))))</f>
        <v>0</v>
      </c>
      <c r="H137">
        <f>IF(D137=0,"",IF(AND(B137="",C137=""),COUNTIFS(评分明细!$E:$E,A137,评分明细!$X:$X,"&gt;=80"),IF(C137="",COUNTIFS(评分明细!$E:$E,A137,评分明细!$D:$D,B137,评分明细!$X:$X,"&gt;=80"),IF(B137="",COUNTIFS(评分明细!$E:$E,A137,评分明细!$C:$C,C137,评分明细!$X:$X,"&gt;=80"),COUNTIFS(评分明细!$E:$E,A137,评分明细!$D:$D,B137,评分明细!$C:$C,C137,评分明细!$X:$X,"&gt;=80")))))</f>
        <v>0</v>
      </c>
    </row>
    <row r="138" spans="4:8">
      <c r="D138">
        <f>IF(A138="","",IF(AND(B138="",C138=""),COUNTIFS(评分明细!$E:$E,A138,评分明细!$X:$X,"&lt;&gt;"),IF(C138="",COUNTIFS(评分明细!$E:$E,A138,评分明细!$D:$D,B138,评分明细!$X:$X,"&lt;&gt;"),IF(B138="",COUNTIFS(评分明细!$E:$E,A138,评分明细!$C:$C,C138,评分明细!$X:$X,"&lt;&gt;"),COUNTIFS(评分明细!$E:$E,A138,评分明细!$D:$D,B138,评分明细!$C:$C,C138,评分明细!$X:$X,"&lt;&gt;")))))</f>
        <v>0</v>
      </c>
      <c r="E138">
        <f>IF(D138=0,"",IF(AND(B138="",C138=""),ROUND(AVERAGEIFS(评分明细!$X:$X,评分明细!$E:$E,A138,评分明细!$X:$X,"&lt;&gt;"),1),IF(C138="",ROUND(AVERAGEIFS(评分明细!$X:$X,评分明细!$E:$E,A138,评分明细!$D:$D,B138,评分明细!$X:$X,"&lt;&gt;"),1),IF(B138="",ROUND(AVERAGEIFS(评分明细!$X:$X,评分明细!$E:$E,A138,评分明细!$C:$C,C138,评分明细!$X:$X,"&lt;&gt;"),1),ROUND(AVERAGEIFS(评分明细!$X:$X,评分明细!$E:$E,A138,评分明细!$D:$D,B138,评分明细!$C:$C,C138,评分明细!$X:$X,"&lt;&gt;"),1)))))</f>
        <v>0</v>
      </c>
      <c r="F138">
        <f t="shared" si="3"/>
        <v>0</v>
      </c>
      <c r="G138">
        <f>IF(D138=0,"",IF(AND(B138="",C138=""),COUNTIFS(评分明细!$E:$E,A138,评分明细!$X:$X,"&gt;=60"),IF(C138="",COUNTIFS(评分明细!$E:$E,A138,评分明细!$D:$D,B138,评分明细!$X:$X,"&gt;=60"),IF(B138="",COUNTIFS(评分明细!$E:$E,A138,评分明细!$C:$C,C138,评分明细!$X:$X,"&gt;=60"),COUNTIFS(评分明细!$E:$E,A138,评分明细!$D:$D,B138,评分明细!$C:$C,C138,评分明细!$X:$X,"&gt;=60")))))</f>
        <v>0</v>
      </c>
      <c r="H138">
        <f>IF(D138=0,"",IF(AND(B138="",C138=""),COUNTIFS(评分明细!$E:$E,A138,评分明细!$X:$X,"&gt;=80"),IF(C138="",COUNTIFS(评分明细!$E:$E,A138,评分明细!$D:$D,B138,评分明细!$X:$X,"&gt;=80"),IF(B138="",COUNTIFS(评分明细!$E:$E,A138,评分明细!$C:$C,C138,评分明细!$X:$X,"&gt;=80"),COUNTIFS(评分明细!$E:$E,A138,评分明细!$D:$D,B138,评分明细!$C:$C,C138,评分明细!$X:$X,"&gt;=80")))))</f>
        <v>0</v>
      </c>
    </row>
    <row r="139" spans="4:8">
      <c r="D139">
        <f>IF(A139="","",IF(AND(B139="",C139=""),COUNTIFS(评分明细!$E:$E,A139,评分明细!$X:$X,"&lt;&gt;"),IF(C139="",COUNTIFS(评分明细!$E:$E,A139,评分明细!$D:$D,B139,评分明细!$X:$X,"&lt;&gt;"),IF(B139="",COUNTIFS(评分明细!$E:$E,A139,评分明细!$C:$C,C139,评分明细!$X:$X,"&lt;&gt;"),COUNTIFS(评分明细!$E:$E,A139,评分明细!$D:$D,B139,评分明细!$C:$C,C139,评分明细!$X:$X,"&lt;&gt;")))))</f>
        <v>0</v>
      </c>
      <c r="E139">
        <f>IF(D139=0,"",IF(AND(B139="",C139=""),ROUND(AVERAGEIFS(评分明细!$X:$X,评分明细!$E:$E,A139,评分明细!$X:$X,"&lt;&gt;"),1),IF(C139="",ROUND(AVERAGEIFS(评分明细!$X:$X,评分明细!$E:$E,A139,评分明细!$D:$D,B139,评分明细!$X:$X,"&lt;&gt;"),1),IF(B139="",ROUND(AVERAGEIFS(评分明细!$X:$X,评分明细!$E:$E,A139,评分明细!$C:$C,C139,评分明细!$X:$X,"&lt;&gt;"),1),ROUND(AVERAGEIFS(评分明细!$X:$X,评分明细!$E:$E,A139,评分明细!$D:$D,B139,评分明细!$C:$C,C139,评分明细!$X:$X,"&lt;&gt;"),1)))))</f>
        <v>0</v>
      </c>
      <c r="F139">
        <f t="shared" si="3"/>
        <v>0</v>
      </c>
      <c r="G139">
        <f>IF(D139=0,"",IF(AND(B139="",C139=""),COUNTIFS(评分明细!$E:$E,A139,评分明细!$X:$X,"&gt;=60"),IF(C139="",COUNTIFS(评分明细!$E:$E,A139,评分明细!$D:$D,B139,评分明细!$X:$X,"&gt;=60"),IF(B139="",COUNTIFS(评分明细!$E:$E,A139,评分明细!$C:$C,C139,评分明细!$X:$X,"&gt;=60"),COUNTIFS(评分明细!$E:$E,A139,评分明细!$D:$D,B139,评分明细!$C:$C,C139,评分明细!$X:$X,"&gt;=60")))))</f>
        <v>0</v>
      </c>
      <c r="H139">
        <f>IF(D139=0,"",IF(AND(B139="",C139=""),COUNTIFS(评分明细!$E:$E,A139,评分明细!$X:$X,"&gt;=80"),IF(C139="",COUNTIFS(评分明细!$E:$E,A139,评分明细!$D:$D,B139,评分明细!$X:$X,"&gt;=80"),IF(B139="",COUNTIFS(评分明细!$E:$E,A139,评分明细!$C:$C,C139,评分明细!$X:$X,"&gt;=80"),COUNTIFS(评分明细!$E:$E,A139,评分明细!$D:$D,B139,评分明细!$C:$C,C139,评分明细!$X:$X,"&gt;=80")))))</f>
        <v>0</v>
      </c>
    </row>
    <row r="140" spans="4:8">
      <c r="D140">
        <f>IF(A140="","",IF(AND(B140="",C140=""),COUNTIFS(评分明细!$E:$E,A140,评分明细!$X:$X,"&lt;&gt;"),IF(C140="",COUNTIFS(评分明细!$E:$E,A140,评分明细!$D:$D,B140,评分明细!$X:$X,"&lt;&gt;"),IF(B140="",COUNTIFS(评分明细!$E:$E,A140,评分明细!$C:$C,C140,评分明细!$X:$X,"&lt;&gt;"),COUNTIFS(评分明细!$E:$E,A140,评分明细!$D:$D,B140,评分明细!$C:$C,C140,评分明细!$X:$X,"&lt;&gt;")))))</f>
        <v>0</v>
      </c>
      <c r="E140">
        <f>IF(D140=0,"",IF(AND(B140="",C140=""),ROUND(AVERAGEIFS(评分明细!$X:$X,评分明细!$E:$E,A140,评分明细!$X:$X,"&lt;&gt;"),1),IF(C140="",ROUND(AVERAGEIFS(评分明细!$X:$X,评分明细!$E:$E,A140,评分明细!$D:$D,B140,评分明细!$X:$X,"&lt;&gt;"),1),IF(B140="",ROUND(AVERAGEIFS(评分明细!$X:$X,评分明细!$E:$E,A140,评分明细!$C:$C,C140,评分明细!$X:$X,"&lt;&gt;"),1),ROUND(AVERAGEIFS(评分明细!$X:$X,评分明细!$E:$E,A140,评分明细!$D:$D,B140,评分明细!$C:$C,C140,评分明细!$X:$X,"&lt;&gt;"),1)))))</f>
        <v>0</v>
      </c>
      <c r="F140">
        <f t="shared" si="3"/>
        <v>0</v>
      </c>
      <c r="G140">
        <f>IF(D140=0,"",IF(AND(B140="",C140=""),COUNTIFS(评分明细!$E:$E,A140,评分明细!$X:$X,"&gt;=60"),IF(C140="",COUNTIFS(评分明细!$E:$E,A140,评分明细!$D:$D,B140,评分明细!$X:$X,"&gt;=60"),IF(B140="",COUNTIFS(评分明细!$E:$E,A140,评分明细!$C:$C,C140,评分明细!$X:$X,"&gt;=60"),COUNTIFS(评分明细!$E:$E,A140,评分明细!$D:$D,B140,评分明细!$C:$C,C140,评分明细!$X:$X,"&gt;=60")))))</f>
        <v>0</v>
      </c>
      <c r="H140">
        <f>IF(D140=0,"",IF(AND(B140="",C140=""),COUNTIFS(评分明细!$E:$E,A140,评分明细!$X:$X,"&gt;=80"),IF(C140="",COUNTIFS(评分明细!$E:$E,A140,评分明细!$D:$D,B140,评分明细!$X:$X,"&gt;=80"),IF(B140="",COUNTIFS(评分明细!$E:$E,A140,评分明细!$C:$C,C140,评分明细!$X:$X,"&gt;=80"),COUNTIFS(评分明细!$E:$E,A140,评分明细!$D:$D,B140,评分明细!$C:$C,C140,评分明细!$X:$X,"&gt;=80")))))</f>
        <v>0</v>
      </c>
    </row>
    <row r="141" spans="4:8">
      <c r="D141">
        <f>IF(A141="","",IF(AND(B141="",C141=""),COUNTIFS(评分明细!$E:$E,A141,评分明细!$X:$X,"&lt;&gt;"),IF(C141="",COUNTIFS(评分明细!$E:$E,A141,评分明细!$D:$D,B141,评分明细!$X:$X,"&lt;&gt;"),IF(B141="",COUNTIFS(评分明细!$E:$E,A141,评分明细!$C:$C,C141,评分明细!$X:$X,"&lt;&gt;"),COUNTIFS(评分明细!$E:$E,A141,评分明细!$D:$D,B141,评分明细!$C:$C,C141,评分明细!$X:$X,"&lt;&gt;")))))</f>
        <v>0</v>
      </c>
      <c r="E141">
        <f>IF(D141=0,"",IF(AND(B141="",C141=""),ROUND(AVERAGEIFS(评分明细!$X:$X,评分明细!$E:$E,A141,评分明细!$X:$X,"&lt;&gt;"),1),IF(C141="",ROUND(AVERAGEIFS(评分明细!$X:$X,评分明细!$E:$E,A141,评分明细!$D:$D,B141,评分明细!$X:$X,"&lt;&gt;"),1),IF(B141="",ROUND(AVERAGEIFS(评分明细!$X:$X,评分明细!$E:$E,A141,评分明细!$C:$C,C141,评分明细!$X:$X,"&lt;&gt;"),1),ROUND(AVERAGEIFS(评分明细!$X:$X,评分明细!$E:$E,A141,评分明细!$D:$D,B141,评分明细!$C:$C,C141,评分明细!$X:$X,"&lt;&gt;"),1)))))</f>
        <v>0</v>
      </c>
      <c r="F141">
        <f t="shared" si="3"/>
        <v>0</v>
      </c>
      <c r="G141">
        <f>IF(D141=0,"",IF(AND(B141="",C141=""),COUNTIFS(评分明细!$E:$E,A141,评分明细!$X:$X,"&gt;=60"),IF(C141="",COUNTIFS(评分明细!$E:$E,A141,评分明细!$D:$D,B141,评分明细!$X:$X,"&gt;=60"),IF(B141="",COUNTIFS(评分明细!$E:$E,A141,评分明细!$C:$C,C141,评分明细!$X:$X,"&gt;=60"),COUNTIFS(评分明细!$E:$E,A141,评分明细!$D:$D,B141,评分明细!$C:$C,C141,评分明细!$X:$X,"&gt;=60")))))</f>
        <v>0</v>
      </c>
      <c r="H141">
        <f>IF(D141=0,"",IF(AND(B141="",C141=""),COUNTIFS(评分明细!$E:$E,A141,评分明细!$X:$X,"&gt;=80"),IF(C141="",COUNTIFS(评分明细!$E:$E,A141,评分明细!$D:$D,B141,评分明细!$X:$X,"&gt;=80"),IF(B141="",COUNTIFS(评分明细!$E:$E,A141,评分明细!$C:$C,C141,评分明细!$X:$X,"&gt;=80"),COUNTIFS(评分明细!$E:$E,A141,评分明细!$D:$D,B141,评分明细!$C:$C,C141,评分明细!$X:$X,"&gt;=80")))))</f>
        <v>0</v>
      </c>
    </row>
    <row r="142" spans="4:8">
      <c r="D142">
        <f>IF(A142="","",IF(AND(B142="",C142=""),COUNTIFS(评分明细!$E:$E,A142,评分明细!$X:$X,"&lt;&gt;"),IF(C142="",COUNTIFS(评分明细!$E:$E,A142,评分明细!$D:$D,B142,评分明细!$X:$X,"&lt;&gt;"),IF(B142="",COUNTIFS(评分明细!$E:$E,A142,评分明细!$C:$C,C142,评分明细!$X:$X,"&lt;&gt;"),COUNTIFS(评分明细!$E:$E,A142,评分明细!$D:$D,B142,评分明细!$C:$C,C142,评分明细!$X:$X,"&lt;&gt;")))))</f>
        <v>0</v>
      </c>
      <c r="E142">
        <f>IF(D142=0,"",IF(AND(B142="",C142=""),ROUND(AVERAGEIFS(评分明细!$X:$X,评分明细!$E:$E,A142,评分明细!$X:$X,"&lt;&gt;"),1),IF(C142="",ROUND(AVERAGEIFS(评分明细!$X:$X,评分明细!$E:$E,A142,评分明细!$D:$D,B142,评分明细!$X:$X,"&lt;&gt;"),1),IF(B142="",ROUND(AVERAGEIFS(评分明细!$X:$X,评分明细!$E:$E,A142,评分明细!$C:$C,C142,评分明细!$X:$X,"&lt;&gt;"),1),ROUND(AVERAGEIFS(评分明细!$X:$X,评分明细!$E:$E,A142,评分明细!$D:$D,B142,评分明细!$C:$C,C142,评分明细!$X:$X,"&lt;&gt;"),1)))))</f>
        <v>0</v>
      </c>
      <c r="F142">
        <f t="shared" si="3"/>
        <v>0</v>
      </c>
      <c r="G142">
        <f>IF(D142=0,"",IF(AND(B142="",C142=""),COUNTIFS(评分明细!$E:$E,A142,评分明细!$X:$X,"&gt;=60"),IF(C142="",COUNTIFS(评分明细!$E:$E,A142,评分明细!$D:$D,B142,评分明细!$X:$X,"&gt;=60"),IF(B142="",COUNTIFS(评分明细!$E:$E,A142,评分明细!$C:$C,C142,评分明细!$X:$X,"&gt;=60"),COUNTIFS(评分明细!$E:$E,A142,评分明细!$D:$D,B142,评分明细!$C:$C,C142,评分明细!$X:$X,"&gt;=60")))))</f>
        <v>0</v>
      </c>
      <c r="H142">
        <f>IF(D142=0,"",IF(AND(B142="",C142=""),COUNTIFS(评分明细!$E:$E,A142,评分明细!$X:$X,"&gt;=80"),IF(C142="",COUNTIFS(评分明细!$E:$E,A142,评分明细!$D:$D,B142,评分明细!$X:$X,"&gt;=80"),IF(B142="",COUNTIFS(评分明细!$E:$E,A142,评分明细!$C:$C,C142,评分明细!$X:$X,"&gt;=80"),COUNTIFS(评分明细!$E:$E,A142,评分明细!$D:$D,B142,评分明细!$C:$C,C142,评分明细!$X:$X,"&gt;=80")))))</f>
        <v>0</v>
      </c>
    </row>
    <row r="143" spans="4:8">
      <c r="D143">
        <f>IF(A143="","",IF(AND(B143="",C143=""),COUNTIFS(评分明细!$E:$E,A143,评分明细!$X:$X,"&lt;&gt;"),IF(C143="",COUNTIFS(评分明细!$E:$E,A143,评分明细!$D:$D,B143,评分明细!$X:$X,"&lt;&gt;"),IF(B143="",COUNTIFS(评分明细!$E:$E,A143,评分明细!$C:$C,C143,评分明细!$X:$X,"&lt;&gt;"),COUNTIFS(评分明细!$E:$E,A143,评分明细!$D:$D,B143,评分明细!$C:$C,C143,评分明细!$X:$X,"&lt;&gt;")))))</f>
        <v>0</v>
      </c>
      <c r="E143">
        <f>IF(D143=0,"",IF(AND(B143="",C143=""),ROUND(AVERAGEIFS(评分明细!$X:$X,评分明细!$E:$E,A143,评分明细!$X:$X,"&lt;&gt;"),1),IF(C143="",ROUND(AVERAGEIFS(评分明细!$X:$X,评分明细!$E:$E,A143,评分明细!$D:$D,B143,评分明细!$X:$X,"&lt;&gt;"),1),IF(B143="",ROUND(AVERAGEIFS(评分明细!$X:$X,评分明细!$E:$E,A143,评分明细!$C:$C,C143,评分明细!$X:$X,"&lt;&gt;"),1),ROUND(AVERAGEIFS(评分明细!$X:$X,评分明细!$E:$E,A143,评分明细!$D:$D,B143,评分明细!$C:$C,C143,评分明细!$X:$X,"&lt;&gt;"),1)))))</f>
        <v>0</v>
      </c>
      <c r="F143">
        <f t="shared" si="3"/>
        <v>0</v>
      </c>
      <c r="G143">
        <f>IF(D143=0,"",IF(AND(B143="",C143=""),COUNTIFS(评分明细!$E:$E,A143,评分明细!$X:$X,"&gt;=60"),IF(C143="",COUNTIFS(评分明细!$E:$E,A143,评分明细!$D:$D,B143,评分明细!$X:$X,"&gt;=60"),IF(B143="",COUNTIFS(评分明细!$E:$E,A143,评分明细!$C:$C,C143,评分明细!$X:$X,"&gt;=60"),COUNTIFS(评分明细!$E:$E,A143,评分明细!$D:$D,B143,评分明细!$C:$C,C143,评分明细!$X:$X,"&gt;=60")))))</f>
        <v>0</v>
      </c>
      <c r="H143">
        <f>IF(D143=0,"",IF(AND(B143="",C143=""),COUNTIFS(评分明细!$E:$E,A143,评分明细!$X:$X,"&gt;=80"),IF(C143="",COUNTIFS(评分明细!$E:$E,A143,评分明细!$D:$D,B143,评分明细!$X:$X,"&gt;=80"),IF(B143="",COUNTIFS(评分明细!$E:$E,A143,评分明细!$C:$C,C143,评分明细!$X:$X,"&gt;=80"),COUNTIFS(评分明细!$E:$E,A143,评分明细!$D:$D,B143,评分明细!$C:$C,C143,评分明细!$X:$X,"&gt;=80")))))</f>
        <v>0</v>
      </c>
    </row>
    <row r="144" spans="4:8">
      <c r="D144">
        <f>IF(A144="","",IF(AND(B144="",C144=""),COUNTIFS(评分明细!$E:$E,A144,评分明细!$X:$X,"&lt;&gt;"),IF(C144="",COUNTIFS(评分明细!$E:$E,A144,评分明细!$D:$D,B144,评分明细!$X:$X,"&lt;&gt;"),IF(B144="",COUNTIFS(评分明细!$E:$E,A144,评分明细!$C:$C,C144,评分明细!$X:$X,"&lt;&gt;"),COUNTIFS(评分明细!$E:$E,A144,评分明细!$D:$D,B144,评分明细!$C:$C,C144,评分明细!$X:$X,"&lt;&gt;")))))</f>
        <v>0</v>
      </c>
      <c r="E144">
        <f>IF(D144=0,"",IF(AND(B144="",C144=""),ROUND(AVERAGEIFS(评分明细!$X:$X,评分明细!$E:$E,A144,评分明细!$X:$X,"&lt;&gt;"),1),IF(C144="",ROUND(AVERAGEIFS(评分明细!$X:$X,评分明细!$E:$E,A144,评分明细!$D:$D,B144,评分明细!$X:$X,"&lt;&gt;"),1),IF(B144="",ROUND(AVERAGEIFS(评分明细!$X:$X,评分明细!$E:$E,A144,评分明细!$C:$C,C144,评分明细!$X:$X,"&lt;&gt;"),1),ROUND(AVERAGEIFS(评分明细!$X:$X,评分明细!$E:$E,A144,评分明细!$D:$D,B144,评分明细!$C:$C,C144,评分明细!$X:$X,"&lt;&gt;"),1)))))</f>
        <v>0</v>
      </c>
      <c r="F144">
        <f t="shared" si="3"/>
        <v>0</v>
      </c>
      <c r="G144">
        <f>IF(D144=0,"",IF(AND(B144="",C144=""),COUNTIFS(评分明细!$E:$E,A144,评分明细!$X:$X,"&gt;=60"),IF(C144="",COUNTIFS(评分明细!$E:$E,A144,评分明细!$D:$D,B144,评分明细!$X:$X,"&gt;=60"),IF(B144="",COUNTIFS(评分明细!$E:$E,A144,评分明细!$C:$C,C144,评分明细!$X:$X,"&gt;=60"),COUNTIFS(评分明细!$E:$E,A144,评分明细!$D:$D,B144,评分明细!$C:$C,C144,评分明细!$X:$X,"&gt;=60")))))</f>
        <v>0</v>
      </c>
      <c r="H144">
        <f>IF(D144=0,"",IF(AND(B144="",C144=""),COUNTIFS(评分明细!$E:$E,A144,评分明细!$X:$X,"&gt;=80"),IF(C144="",COUNTIFS(评分明细!$E:$E,A144,评分明细!$D:$D,B144,评分明细!$X:$X,"&gt;=80"),IF(B144="",COUNTIFS(评分明细!$E:$E,A144,评分明细!$C:$C,C144,评分明细!$X:$X,"&gt;=80"),COUNTIFS(评分明细!$E:$E,A144,评分明细!$D:$D,B144,评分明细!$C:$C,C144,评分明细!$X:$X,"&gt;=80")))))</f>
        <v>0</v>
      </c>
    </row>
    <row r="145" spans="4:8">
      <c r="D145">
        <f>IF(A145="","",IF(AND(B145="",C145=""),COUNTIFS(评分明细!$E:$E,A145,评分明细!$X:$X,"&lt;&gt;"),IF(C145="",COUNTIFS(评分明细!$E:$E,A145,评分明细!$D:$D,B145,评分明细!$X:$X,"&lt;&gt;"),IF(B145="",COUNTIFS(评分明细!$E:$E,A145,评分明细!$C:$C,C145,评分明细!$X:$X,"&lt;&gt;"),COUNTIFS(评分明细!$E:$E,A145,评分明细!$D:$D,B145,评分明细!$C:$C,C145,评分明细!$X:$X,"&lt;&gt;")))))</f>
        <v>0</v>
      </c>
      <c r="E145">
        <f>IF(D145=0,"",IF(AND(B145="",C145=""),ROUND(AVERAGEIFS(评分明细!$X:$X,评分明细!$E:$E,A145,评分明细!$X:$X,"&lt;&gt;"),1),IF(C145="",ROUND(AVERAGEIFS(评分明细!$X:$X,评分明细!$E:$E,A145,评分明细!$D:$D,B145,评分明细!$X:$X,"&lt;&gt;"),1),IF(B145="",ROUND(AVERAGEIFS(评分明细!$X:$X,评分明细!$E:$E,A145,评分明细!$C:$C,C145,评分明细!$X:$X,"&lt;&gt;"),1),ROUND(AVERAGEIFS(评分明细!$X:$X,评分明细!$E:$E,A145,评分明细!$D:$D,B145,评分明细!$C:$C,C145,评分明细!$X:$X,"&lt;&gt;"),1)))))</f>
        <v>0</v>
      </c>
      <c r="F145">
        <f t="shared" si="3"/>
        <v>0</v>
      </c>
      <c r="G145">
        <f>IF(D145=0,"",IF(AND(B145="",C145=""),COUNTIFS(评分明细!$E:$E,A145,评分明细!$X:$X,"&gt;=60"),IF(C145="",COUNTIFS(评分明细!$E:$E,A145,评分明细!$D:$D,B145,评分明细!$X:$X,"&gt;=60"),IF(B145="",COUNTIFS(评分明细!$E:$E,A145,评分明细!$C:$C,C145,评分明细!$X:$X,"&gt;=60"),COUNTIFS(评分明细!$E:$E,A145,评分明细!$D:$D,B145,评分明细!$C:$C,C145,评分明细!$X:$X,"&gt;=60")))))</f>
        <v>0</v>
      </c>
      <c r="H145">
        <f>IF(D145=0,"",IF(AND(B145="",C145=""),COUNTIFS(评分明细!$E:$E,A145,评分明细!$X:$X,"&gt;=80"),IF(C145="",COUNTIFS(评分明细!$E:$E,A145,评分明细!$D:$D,B145,评分明细!$X:$X,"&gt;=80"),IF(B145="",COUNTIFS(评分明细!$E:$E,A145,评分明细!$C:$C,C145,评分明细!$X:$X,"&gt;=80"),COUNTIFS(评分明细!$E:$E,A145,评分明细!$D:$D,B145,评分明细!$C:$C,C145,评分明细!$X:$X,"&gt;=80")))))</f>
        <v>0</v>
      </c>
    </row>
    <row r="146" spans="4:8">
      <c r="D146">
        <f>IF(A146="","",IF(AND(B146="",C146=""),COUNTIFS(评分明细!$E:$E,A146,评分明细!$X:$X,"&lt;&gt;"),IF(C146="",COUNTIFS(评分明细!$E:$E,A146,评分明细!$D:$D,B146,评分明细!$X:$X,"&lt;&gt;"),IF(B146="",COUNTIFS(评分明细!$E:$E,A146,评分明细!$C:$C,C146,评分明细!$X:$X,"&lt;&gt;"),COUNTIFS(评分明细!$E:$E,A146,评分明细!$D:$D,B146,评分明细!$C:$C,C146,评分明细!$X:$X,"&lt;&gt;")))))</f>
        <v>0</v>
      </c>
      <c r="E146">
        <f>IF(D146=0,"",IF(AND(B146="",C146=""),ROUND(AVERAGEIFS(评分明细!$X:$X,评分明细!$E:$E,A146,评分明细!$X:$X,"&lt;&gt;"),1),IF(C146="",ROUND(AVERAGEIFS(评分明细!$X:$X,评分明细!$E:$E,A146,评分明细!$D:$D,B146,评分明细!$X:$X,"&lt;&gt;"),1),IF(B146="",ROUND(AVERAGEIFS(评分明细!$X:$X,评分明细!$E:$E,A146,评分明细!$C:$C,C146,评分明细!$X:$X,"&lt;&gt;"),1),ROUND(AVERAGEIFS(评分明细!$X:$X,评分明细!$E:$E,A146,评分明细!$D:$D,B146,评分明细!$C:$C,C146,评分明细!$X:$X,"&lt;&gt;"),1)))))</f>
        <v>0</v>
      </c>
      <c r="F146">
        <f t="shared" si="3"/>
        <v>0</v>
      </c>
      <c r="G146">
        <f>IF(D146=0,"",IF(AND(B146="",C146=""),COUNTIFS(评分明细!$E:$E,A146,评分明细!$X:$X,"&gt;=60"),IF(C146="",COUNTIFS(评分明细!$E:$E,A146,评分明细!$D:$D,B146,评分明细!$X:$X,"&gt;=60"),IF(B146="",COUNTIFS(评分明细!$E:$E,A146,评分明细!$C:$C,C146,评分明细!$X:$X,"&gt;=60"),COUNTIFS(评分明细!$E:$E,A146,评分明细!$D:$D,B146,评分明细!$C:$C,C146,评分明细!$X:$X,"&gt;=60")))))</f>
        <v>0</v>
      </c>
      <c r="H146">
        <f>IF(D146=0,"",IF(AND(B146="",C146=""),COUNTIFS(评分明细!$E:$E,A146,评分明细!$X:$X,"&gt;=80"),IF(C146="",COUNTIFS(评分明细!$E:$E,A146,评分明细!$D:$D,B146,评分明细!$X:$X,"&gt;=80"),IF(B146="",COUNTIFS(评分明细!$E:$E,A146,评分明细!$C:$C,C146,评分明细!$X:$X,"&gt;=80"),COUNTIFS(评分明细!$E:$E,A146,评分明细!$D:$D,B146,评分明细!$C:$C,C146,评分明细!$X:$X,"&gt;=80")))))</f>
        <v>0</v>
      </c>
    </row>
    <row r="147" spans="4:8">
      <c r="D147">
        <f>IF(A147="","",IF(AND(B147="",C147=""),COUNTIFS(评分明细!$E:$E,A147,评分明细!$X:$X,"&lt;&gt;"),IF(C147="",COUNTIFS(评分明细!$E:$E,A147,评分明细!$D:$D,B147,评分明细!$X:$X,"&lt;&gt;"),IF(B147="",COUNTIFS(评分明细!$E:$E,A147,评分明细!$C:$C,C147,评分明细!$X:$X,"&lt;&gt;"),COUNTIFS(评分明细!$E:$E,A147,评分明细!$D:$D,B147,评分明细!$C:$C,C147,评分明细!$X:$X,"&lt;&gt;")))))</f>
        <v>0</v>
      </c>
      <c r="E147">
        <f>IF(D147=0,"",IF(AND(B147="",C147=""),ROUND(AVERAGEIFS(评分明细!$X:$X,评分明细!$E:$E,A147,评分明细!$X:$X,"&lt;&gt;"),1),IF(C147="",ROUND(AVERAGEIFS(评分明细!$X:$X,评分明细!$E:$E,A147,评分明细!$D:$D,B147,评分明细!$X:$X,"&lt;&gt;"),1),IF(B147="",ROUND(AVERAGEIFS(评分明细!$X:$X,评分明细!$E:$E,A147,评分明细!$C:$C,C147,评分明细!$X:$X,"&lt;&gt;"),1),ROUND(AVERAGEIFS(评分明细!$X:$X,评分明细!$E:$E,A147,评分明细!$D:$D,B147,评分明细!$C:$C,C147,评分明细!$X:$X,"&lt;&gt;"),1)))))</f>
        <v>0</v>
      </c>
      <c r="F147">
        <f t="shared" si="3"/>
        <v>0</v>
      </c>
      <c r="G147">
        <f>IF(D147=0,"",IF(AND(B147="",C147=""),COUNTIFS(评分明细!$E:$E,A147,评分明细!$X:$X,"&gt;=60"),IF(C147="",COUNTIFS(评分明细!$E:$E,A147,评分明细!$D:$D,B147,评分明细!$X:$X,"&gt;=60"),IF(B147="",COUNTIFS(评分明细!$E:$E,A147,评分明细!$C:$C,C147,评分明细!$X:$X,"&gt;=60"),COUNTIFS(评分明细!$E:$E,A147,评分明细!$D:$D,B147,评分明细!$C:$C,C147,评分明细!$X:$X,"&gt;=60")))))</f>
        <v>0</v>
      </c>
      <c r="H147">
        <f>IF(D147=0,"",IF(AND(B147="",C147=""),COUNTIFS(评分明细!$E:$E,A147,评分明细!$X:$X,"&gt;=80"),IF(C147="",COUNTIFS(评分明细!$E:$E,A147,评分明细!$D:$D,B147,评分明细!$X:$X,"&gt;=80"),IF(B147="",COUNTIFS(评分明细!$E:$E,A147,评分明细!$C:$C,C147,评分明细!$X:$X,"&gt;=80"),COUNTIFS(评分明细!$E:$E,A147,评分明细!$D:$D,B147,评分明细!$C:$C,C147,评分明细!$X:$X,"&gt;=80")))))</f>
        <v>0</v>
      </c>
    </row>
    <row r="148" spans="4:8">
      <c r="D148">
        <f>IF(A148="","",IF(AND(B148="",C148=""),COUNTIFS(评分明细!$E:$E,A148,评分明细!$X:$X,"&lt;&gt;"),IF(C148="",COUNTIFS(评分明细!$E:$E,A148,评分明细!$D:$D,B148,评分明细!$X:$X,"&lt;&gt;"),IF(B148="",COUNTIFS(评分明细!$E:$E,A148,评分明细!$C:$C,C148,评分明细!$X:$X,"&lt;&gt;"),COUNTIFS(评分明细!$E:$E,A148,评分明细!$D:$D,B148,评分明细!$C:$C,C148,评分明细!$X:$X,"&lt;&gt;")))))</f>
        <v>0</v>
      </c>
      <c r="E148">
        <f>IF(D148=0,"",IF(AND(B148="",C148=""),ROUND(AVERAGEIFS(评分明细!$X:$X,评分明细!$E:$E,A148,评分明细!$X:$X,"&lt;&gt;"),1),IF(C148="",ROUND(AVERAGEIFS(评分明细!$X:$X,评分明细!$E:$E,A148,评分明细!$D:$D,B148,评分明细!$X:$X,"&lt;&gt;"),1),IF(B148="",ROUND(AVERAGEIFS(评分明细!$X:$X,评分明细!$E:$E,A148,评分明细!$C:$C,C148,评分明细!$X:$X,"&lt;&gt;"),1),ROUND(AVERAGEIFS(评分明细!$X:$X,评分明细!$E:$E,A148,评分明细!$D:$D,B148,评分明细!$C:$C,C148,评分明细!$X:$X,"&lt;&gt;"),1)))))</f>
        <v>0</v>
      </c>
      <c r="F148">
        <f t="shared" si="3"/>
        <v>0</v>
      </c>
      <c r="G148">
        <f>IF(D148=0,"",IF(AND(B148="",C148=""),COUNTIFS(评分明细!$E:$E,A148,评分明细!$X:$X,"&gt;=60"),IF(C148="",COUNTIFS(评分明细!$E:$E,A148,评分明细!$D:$D,B148,评分明细!$X:$X,"&gt;=60"),IF(B148="",COUNTIFS(评分明细!$E:$E,A148,评分明细!$C:$C,C148,评分明细!$X:$X,"&gt;=60"),COUNTIFS(评分明细!$E:$E,A148,评分明细!$D:$D,B148,评分明细!$C:$C,C148,评分明细!$X:$X,"&gt;=60")))))</f>
        <v>0</v>
      </c>
      <c r="H148">
        <f>IF(D148=0,"",IF(AND(B148="",C148=""),COUNTIFS(评分明细!$E:$E,A148,评分明细!$X:$X,"&gt;=80"),IF(C148="",COUNTIFS(评分明细!$E:$E,A148,评分明细!$D:$D,B148,评分明细!$X:$X,"&gt;=80"),IF(B148="",COUNTIFS(评分明细!$E:$E,A148,评分明细!$C:$C,C148,评分明细!$X:$X,"&gt;=80"),COUNTIFS(评分明细!$E:$E,A148,评分明细!$D:$D,B148,评分明细!$C:$C,C148,评分明细!$X:$X,"&gt;=80")))))</f>
        <v>0</v>
      </c>
    </row>
    <row r="149" spans="4:8">
      <c r="D149">
        <f>IF(A149="","",IF(AND(B149="",C149=""),COUNTIFS(评分明细!$E:$E,A149,评分明细!$X:$X,"&lt;&gt;"),IF(C149="",COUNTIFS(评分明细!$E:$E,A149,评分明细!$D:$D,B149,评分明细!$X:$X,"&lt;&gt;"),IF(B149="",COUNTIFS(评分明细!$E:$E,A149,评分明细!$C:$C,C149,评分明细!$X:$X,"&lt;&gt;"),COUNTIFS(评分明细!$E:$E,A149,评分明细!$D:$D,B149,评分明细!$C:$C,C149,评分明细!$X:$X,"&lt;&gt;")))))</f>
        <v>0</v>
      </c>
      <c r="E149">
        <f>IF(D149=0,"",IF(AND(B149="",C149=""),ROUND(AVERAGEIFS(评分明细!$X:$X,评分明细!$E:$E,A149,评分明细!$X:$X,"&lt;&gt;"),1),IF(C149="",ROUND(AVERAGEIFS(评分明细!$X:$X,评分明细!$E:$E,A149,评分明细!$D:$D,B149,评分明细!$X:$X,"&lt;&gt;"),1),IF(B149="",ROUND(AVERAGEIFS(评分明细!$X:$X,评分明细!$E:$E,A149,评分明细!$C:$C,C149,评分明细!$X:$X,"&lt;&gt;"),1),ROUND(AVERAGEIFS(评分明细!$X:$X,评分明细!$E:$E,A149,评分明细!$D:$D,B149,评分明细!$C:$C,C149,评分明细!$X:$X,"&lt;&gt;"),1)))))</f>
        <v>0</v>
      </c>
      <c r="F149">
        <f t="shared" si="3"/>
        <v>0</v>
      </c>
      <c r="G149">
        <f>IF(D149=0,"",IF(AND(B149="",C149=""),COUNTIFS(评分明细!$E:$E,A149,评分明细!$X:$X,"&gt;=60"),IF(C149="",COUNTIFS(评分明细!$E:$E,A149,评分明细!$D:$D,B149,评分明细!$X:$X,"&gt;=60"),IF(B149="",COUNTIFS(评分明细!$E:$E,A149,评分明细!$C:$C,C149,评分明细!$X:$X,"&gt;=60"),COUNTIFS(评分明细!$E:$E,A149,评分明细!$D:$D,B149,评分明细!$C:$C,C149,评分明细!$X:$X,"&gt;=60")))))</f>
        <v>0</v>
      </c>
      <c r="H149">
        <f>IF(D149=0,"",IF(AND(B149="",C149=""),COUNTIFS(评分明细!$E:$E,A149,评分明细!$X:$X,"&gt;=80"),IF(C149="",COUNTIFS(评分明细!$E:$E,A149,评分明细!$D:$D,B149,评分明细!$X:$X,"&gt;=80"),IF(B149="",COUNTIFS(评分明细!$E:$E,A149,评分明细!$C:$C,C149,评分明细!$X:$X,"&gt;=80"),COUNTIFS(评分明细!$E:$E,A149,评分明细!$D:$D,B149,评分明细!$C:$C,C149,评分明细!$X:$X,"&gt;=80")))))</f>
        <v>0</v>
      </c>
    </row>
    <row r="150" spans="4:8">
      <c r="D150">
        <f>IF(A150="","",IF(AND(B150="",C150=""),COUNTIFS(评分明细!$E:$E,A150,评分明细!$X:$X,"&lt;&gt;"),IF(C150="",COUNTIFS(评分明细!$E:$E,A150,评分明细!$D:$D,B150,评分明细!$X:$X,"&lt;&gt;"),IF(B150="",COUNTIFS(评分明细!$E:$E,A150,评分明细!$C:$C,C150,评分明细!$X:$X,"&lt;&gt;"),COUNTIFS(评分明细!$E:$E,A150,评分明细!$D:$D,B150,评分明细!$C:$C,C150,评分明细!$X:$X,"&lt;&gt;")))))</f>
        <v>0</v>
      </c>
      <c r="E150">
        <f>IF(D150=0,"",IF(AND(B150="",C150=""),ROUND(AVERAGEIFS(评分明细!$X:$X,评分明细!$E:$E,A150,评分明细!$X:$X,"&lt;&gt;"),1),IF(C150="",ROUND(AVERAGEIFS(评分明细!$X:$X,评分明细!$E:$E,A150,评分明细!$D:$D,B150,评分明细!$X:$X,"&lt;&gt;"),1),IF(B150="",ROUND(AVERAGEIFS(评分明细!$X:$X,评分明细!$E:$E,A150,评分明细!$C:$C,C150,评分明细!$X:$X,"&lt;&gt;"),1),ROUND(AVERAGEIFS(评分明细!$X:$X,评分明细!$E:$E,A150,评分明细!$D:$D,B150,评分明细!$C:$C,C150,评分明细!$X:$X,"&lt;&gt;"),1)))))</f>
        <v>0</v>
      </c>
      <c r="F150">
        <f t="shared" si="3"/>
        <v>0</v>
      </c>
      <c r="G150">
        <f>IF(D150=0,"",IF(AND(B150="",C150=""),COUNTIFS(评分明细!$E:$E,A150,评分明细!$X:$X,"&gt;=60"),IF(C150="",COUNTIFS(评分明细!$E:$E,A150,评分明细!$D:$D,B150,评分明细!$X:$X,"&gt;=60"),IF(B150="",COUNTIFS(评分明细!$E:$E,A150,评分明细!$C:$C,C150,评分明细!$X:$X,"&gt;=60"),COUNTIFS(评分明细!$E:$E,A150,评分明细!$D:$D,B150,评分明细!$C:$C,C150,评分明细!$X:$X,"&gt;=60")))))</f>
        <v>0</v>
      </c>
      <c r="H150">
        <f>IF(D150=0,"",IF(AND(B150="",C150=""),COUNTIFS(评分明细!$E:$E,A150,评分明细!$X:$X,"&gt;=80"),IF(C150="",COUNTIFS(评分明细!$E:$E,A150,评分明细!$D:$D,B150,评分明细!$X:$X,"&gt;=80"),IF(B150="",COUNTIFS(评分明细!$E:$E,A150,评分明细!$C:$C,C150,评分明细!$X:$X,"&gt;=80"),COUNTIFS(评分明细!$E:$E,A150,评分明细!$D:$D,B150,评分明细!$C:$C,C150,评分明细!$X:$X,"&gt;=80")))))</f>
        <v>0</v>
      </c>
    </row>
    <row r="151" spans="4:8">
      <c r="D151">
        <f>IF(A151="","",IF(AND(B151="",C151=""),COUNTIFS(评分明细!$E:$E,A151,评分明细!$X:$X,"&lt;&gt;"),IF(C151="",COUNTIFS(评分明细!$E:$E,A151,评分明细!$D:$D,B151,评分明细!$X:$X,"&lt;&gt;"),IF(B151="",COUNTIFS(评分明细!$E:$E,A151,评分明细!$C:$C,C151,评分明细!$X:$X,"&lt;&gt;"),COUNTIFS(评分明细!$E:$E,A151,评分明细!$D:$D,B151,评分明细!$C:$C,C151,评分明细!$X:$X,"&lt;&gt;")))))</f>
        <v>0</v>
      </c>
      <c r="E151">
        <f>IF(D151=0,"",IF(AND(B151="",C151=""),ROUND(AVERAGEIFS(评分明细!$X:$X,评分明细!$E:$E,A151,评分明细!$X:$X,"&lt;&gt;"),1),IF(C151="",ROUND(AVERAGEIFS(评分明细!$X:$X,评分明细!$E:$E,A151,评分明细!$D:$D,B151,评分明细!$X:$X,"&lt;&gt;"),1),IF(B151="",ROUND(AVERAGEIFS(评分明细!$X:$X,评分明细!$E:$E,A151,评分明细!$C:$C,C151,评分明细!$X:$X,"&lt;&gt;"),1),ROUND(AVERAGEIFS(评分明细!$X:$X,评分明细!$E:$E,A151,评分明细!$D:$D,B151,评分明细!$C:$C,C151,评分明细!$X:$X,"&lt;&gt;"),1)))))</f>
        <v>0</v>
      </c>
      <c r="F151">
        <f t="shared" si="3"/>
        <v>0</v>
      </c>
      <c r="G151">
        <f>IF(D151=0,"",IF(AND(B151="",C151=""),COUNTIFS(评分明细!$E:$E,A151,评分明细!$X:$X,"&gt;=60"),IF(C151="",COUNTIFS(评分明细!$E:$E,A151,评分明细!$D:$D,B151,评分明细!$X:$X,"&gt;=60"),IF(B151="",COUNTIFS(评分明细!$E:$E,A151,评分明细!$C:$C,C151,评分明细!$X:$X,"&gt;=60"),COUNTIFS(评分明细!$E:$E,A151,评分明细!$D:$D,B151,评分明细!$C:$C,C151,评分明细!$X:$X,"&gt;=60")))))</f>
        <v>0</v>
      </c>
      <c r="H151">
        <f>IF(D151=0,"",IF(AND(B151="",C151=""),COUNTIFS(评分明细!$E:$E,A151,评分明细!$X:$X,"&gt;=80"),IF(C151="",COUNTIFS(评分明细!$E:$E,A151,评分明细!$D:$D,B151,评分明细!$X:$X,"&gt;=80"),IF(B151="",COUNTIFS(评分明细!$E:$E,A151,评分明细!$C:$C,C151,评分明细!$X:$X,"&gt;=80"),COUNTIFS(评分明细!$E:$E,A151,评分明细!$D:$D,B151,评分明细!$C:$C,C151,评分明细!$X:$X,"&gt;=80")))))</f>
        <v>0</v>
      </c>
    </row>
    <row r="152" spans="4:8">
      <c r="D152">
        <f>IF(A152="","",IF(AND(B152="",C152=""),COUNTIFS(评分明细!$E:$E,A152,评分明细!$X:$X,"&lt;&gt;"),IF(C152="",COUNTIFS(评分明细!$E:$E,A152,评分明细!$D:$D,B152,评分明细!$X:$X,"&lt;&gt;"),IF(B152="",COUNTIFS(评分明细!$E:$E,A152,评分明细!$C:$C,C152,评分明细!$X:$X,"&lt;&gt;"),COUNTIFS(评分明细!$E:$E,A152,评分明细!$D:$D,B152,评分明细!$C:$C,C152,评分明细!$X:$X,"&lt;&gt;")))))</f>
        <v>0</v>
      </c>
      <c r="E152">
        <f>IF(D152=0,"",IF(AND(B152="",C152=""),ROUND(AVERAGEIFS(评分明细!$X:$X,评分明细!$E:$E,A152,评分明细!$X:$X,"&lt;&gt;"),1),IF(C152="",ROUND(AVERAGEIFS(评分明细!$X:$X,评分明细!$E:$E,A152,评分明细!$D:$D,B152,评分明细!$X:$X,"&lt;&gt;"),1),IF(B152="",ROUND(AVERAGEIFS(评分明细!$X:$X,评分明细!$E:$E,A152,评分明细!$C:$C,C152,评分明细!$X:$X,"&lt;&gt;"),1),ROUND(AVERAGEIFS(评分明细!$X:$X,评分明细!$E:$E,A152,评分明细!$D:$D,B152,评分明细!$C:$C,C152,评分明细!$X:$X,"&lt;&gt;"),1)))))</f>
        <v>0</v>
      </c>
      <c r="F152">
        <f t="shared" si="3"/>
        <v>0</v>
      </c>
      <c r="G152">
        <f>IF(D152=0,"",IF(AND(B152="",C152=""),COUNTIFS(评分明细!$E:$E,A152,评分明细!$X:$X,"&gt;=60"),IF(C152="",COUNTIFS(评分明细!$E:$E,A152,评分明细!$D:$D,B152,评分明细!$X:$X,"&gt;=60"),IF(B152="",COUNTIFS(评分明细!$E:$E,A152,评分明细!$C:$C,C152,评分明细!$X:$X,"&gt;=60"),COUNTIFS(评分明细!$E:$E,A152,评分明细!$D:$D,B152,评分明细!$C:$C,C152,评分明细!$X:$X,"&gt;=60")))))</f>
        <v>0</v>
      </c>
      <c r="H152">
        <f>IF(D152=0,"",IF(AND(B152="",C152=""),COUNTIFS(评分明细!$E:$E,A152,评分明细!$X:$X,"&gt;=80"),IF(C152="",COUNTIFS(评分明细!$E:$E,A152,评分明细!$D:$D,B152,评分明细!$X:$X,"&gt;=80"),IF(B152="",COUNTIFS(评分明细!$E:$E,A152,评分明细!$C:$C,C152,评分明细!$X:$X,"&gt;=80"),COUNTIFS(评分明细!$E:$E,A152,评分明细!$D:$D,B152,评分明细!$C:$C,C152,评分明细!$X:$X,"&gt;=80")))))</f>
        <v>0</v>
      </c>
    </row>
    <row r="153" spans="4:8">
      <c r="D153">
        <f>IF(A153="","",IF(AND(B153="",C153=""),COUNTIFS(评分明细!$E:$E,A153,评分明细!$X:$X,"&lt;&gt;"),IF(C153="",COUNTIFS(评分明细!$E:$E,A153,评分明细!$D:$D,B153,评分明细!$X:$X,"&lt;&gt;"),IF(B153="",COUNTIFS(评分明细!$E:$E,A153,评分明细!$C:$C,C153,评分明细!$X:$X,"&lt;&gt;"),COUNTIFS(评分明细!$E:$E,A153,评分明细!$D:$D,B153,评分明细!$C:$C,C153,评分明细!$X:$X,"&lt;&gt;")))))</f>
        <v>0</v>
      </c>
      <c r="E153">
        <f>IF(D153=0,"",IF(AND(B153="",C153=""),ROUND(AVERAGEIFS(评分明细!$X:$X,评分明细!$E:$E,A153,评分明细!$X:$X,"&lt;&gt;"),1),IF(C153="",ROUND(AVERAGEIFS(评分明细!$X:$X,评分明细!$E:$E,A153,评分明细!$D:$D,B153,评分明细!$X:$X,"&lt;&gt;"),1),IF(B153="",ROUND(AVERAGEIFS(评分明细!$X:$X,评分明细!$E:$E,A153,评分明细!$C:$C,C153,评分明细!$X:$X,"&lt;&gt;"),1),ROUND(AVERAGEIFS(评分明细!$X:$X,评分明细!$E:$E,A153,评分明细!$D:$D,B153,评分明细!$C:$C,C153,评分明细!$X:$X,"&lt;&gt;"),1)))))</f>
        <v>0</v>
      </c>
      <c r="F153">
        <f t="shared" si="3"/>
        <v>0</v>
      </c>
      <c r="G153">
        <f>IF(D153=0,"",IF(AND(B153="",C153=""),COUNTIFS(评分明细!$E:$E,A153,评分明细!$X:$X,"&gt;=60"),IF(C153="",COUNTIFS(评分明细!$E:$E,A153,评分明细!$D:$D,B153,评分明细!$X:$X,"&gt;=60"),IF(B153="",COUNTIFS(评分明细!$E:$E,A153,评分明细!$C:$C,C153,评分明细!$X:$X,"&gt;=60"),COUNTIFS(评分明细!$E:$E,A153,评分明细!$D:$D,B153,评分明细!$C:$C,C153,评分明细!$X:$X,"&gt;=60")))))</f>
        <v>0</v>
      </c>
      <c r="H153">
        <f>IF(D153=0,"",IF(AND(B153="",C153=""),COUNTIFS(评分明细!$E:$E,A153,评分明细!$X:$X,"&gt;=80"),IF(C153="",COUNTIFS(评分明细!$E:$E,A153,评分明细!$D:$D,B153,评分明细!$X:$X,"&gt;=80"),IF(B153="",COUNTIFS(评分明细!$E:$E,A153,评分明细!$C:$C,C153,评分明细!$X:$X,"&gt;=80"),COUNTIFS(评分明细!$E:$E,A153,评分明细!$D:$D,B153,评分明细!$C:$C,C153,评分明细!$X:$X,"&gt;=80")))))</f>
        <v>0</v>
      </c>
    </row>
    <row r="154" spans="4:8">
      <c r="D154">
        <f>IF(A154="","",IF(AND(B154="",C154=""),COUNTIFS(评分明细!$E:$E,A154,评分明细!$X:$X,"&lt;&gt;"),IF(C154="",COUNTIFS(评分明细!$E:$E,A154,评分明细!$D:$D,B154,评分明细!$X:$X,"&lt;&gt;"),IF(B154="",COUNTIFS(评分明细!$E:$E,A154,评分明细!$C:$C,C154,评分明细!$X:$X,"&lt;&gt;"),COUNTIFS(评分明细!$E:$E,A154,评分明细!$D:$D,B154,评分明细!$C:$C,C154,评分明细!$X:$X,"&lt;&gt;")))))</f>
        <v>0</v>
      </c>
      <c r="E154">
        <f>IF(D154=0,"",IF(AND(B154="",C154=""),ROUND(AVERAGEIFS(评分明细!$X:$X,评分明细!$E:$E,A154,评分明细!$X:$X,"&lt;&gt;"),1),IF(C154="",ROUND(AVERAGEIFS(评分明细!$X:$X,评分明细!$E:$E,A154,评分明细!$D:$D,B154,评分明细!$X:$X,"&lt;&gt;"),1),IF(B154="",ROUND(AVERAGEIFS(评分明细!$X:$X,评分明细!$E:$E,A154,评分明细!$C:$C,C154,评分明细!$X:$X,"&lt;&gt;"),1),ROUND(AVERAGEIFS(评分明细!$X:$X,评分明细!$E:$E,A154,评分明细!$D:$D,B154,评分明细!$C:$C,C154,评分明细!$X:$X,"&lt;&gt;"),1)))))</f>
        <v>0</v>
      </c>
      <c r="F154">
        <f t="shared" si="3"/>
        <v>0</v>
      </c>
      <c r="G154">
        <f>IF(D154=0,"",IF(AND(B154="",C154=""),COUNTIFS(评分明细!$E:$E,A154,评分明细!$X:$X,"&gt;=60"),IF(C154="",COUNTIFS(评分明细!$E:$E,A154,评分明细!$D:$D,B154,评分明细!$X:$X,"&gt;=60"),IF(B154="",COUNTIFS(评分明细!$E:$E,A154,评分明细!$C:$C,C154,评分明细!$X:$X,"&gt;=60"),COUNTIFS(评分明细!$E:$E,A154,评分明细!$D:$D,B154,评分明细!$C:$C,C154,评分明细!$X:$X,"&gt;=60")))))</f>
        <v>0</v>
      </c>
      <c r="H154">
        <f>IF(D154=0,"",IF(AND(B154="",C154=""),COUNTIFS(评分明细!$E:$E,A154,评分明细!$X:$X,"&gt;=80"),IF(C154="",COUNTIFS(评分明细!$E:$E,A154,评分明细!$D:$D,B154,评分明细!$X:$X,"&gt;=80"),IF(B154="",COUNTIFS(评分明细!$E:$E,A154,评分明细!$C:$C,C154,评分明细!$X:$X,"&gt;=80"),COUNTIFS(评分明细!$E:$E,A154,评分明细!$D:$D,B154,评分明细!$C:$C,C154,评分明细!$X:$X,"&gt;=80")))))</f>
        <v>0</v>
      </c>
    </row>
    <row r="155" spans="4:8">
      <c r="D155">
        <f>IF(A155="","",IF(AND(B155="",C155=""),COUNTIFS(评分明细!$E:$E,A155,评分明细!$X:$X,"&lt;&gt;"),IF(C155="",COUNTIFS(评分明细!$E:$E,A155,评分明细!$D:$D,B155,评分明细!$X:$X,"&lt;&gt;"),IF(B155="",COUNTIFS(评分明细!$E:$E,A155,评分明细!$C:$C,C155,评分明细!$X:$X,"&lt;&gt;"),COUNTIFS(评分明细!$E:$E,A155,评分明细!$D:$D,B155,评分明细!$C:$C,C155,评分明细!$X:$X,"&lt;&gt;")))))</f>
        <v>0</v>
      </c>
      <c r="E155">
        <f>IF(D155=0,"",IF(AND(B155="",C155=""),ROUND(AVERAGEIFS(评分明细!$X:$X,评分明细!$E:$E,A155,评分明细!$X:$X,"&lt;&gt;"),1),IF(C155="",ROUND(AVERAGEIFS(评分明细!$X:$X,评分明细!$E:$E,A155,评分明细!$D:$D,B155,评分明细!$X:$X,"&lt;&gt;"),1),IF(B155="",ROUND(AVERAGEIFS(评分明细!$X:$X,评分明细!$E:$E,A155,评分明细!$C:$C,C155,评分明细!$X:$X,"&lt;&gt;"),1),ROUND(AVERAGEIFS(评分明细!$X:$X,评分明细!$E:$E,A155,评分明细!$D:$D,B155,评分明细!$C:$C,C155,评分明细!$X:$X,"&lt;&gt;"),1)))))</f>
        <v>0</v>
      </c>
      <c r="F155">
        <f t="shared" si="3"/>
        <v>0</v>
      </c>
      <c r="G155">
        <f>IF(D155=0,"",IF(AND(B155="",C155=""),COUNTIFS(评分明细!$E:$E,A155,评分明细!$X:$X,"&gt;=60"),IF(C155="",COUNTIFS(评分明细!$E:$E,A155,评分明细!$D:$D,B155,评分明细!$X:$X,"&gt;=60"),IF(B155="",COUNTIFS(评分明细!$E:$E,A155,评分明细!$C:$C,C155,评分明细!$X:$X,"&gt;=60"),COUNTIFS(评分明细!$E:$E,A155,评分明细!$D:$D,B155,评分明细!$C:$C,C155,评分明细!$X:$X,"&gt;=60")))))</f>
        <v>0</v>
      </c>
      <c r="H155">
        <f>IF(D155=0,"",IF(AND(B155="",C155=""),COUNTIFS(评分明细!$E:$E,A155,评分明细!$X:$X,"&gt;=80"),IF(C155="",COUNTIFS(评分明细!$E:$E,A155,评分明细!$D:$D,B155,评分明细!$X:$X,"&gt;=80"),IF(B155="",COUNTIFS(评分明细!$E:$E,A155,评分明细!$C:$C,C155,评分明细!$X:$X,"&gt;=80"),COUNTIFS(评分明细!$E:$E,A155,评分明细!$D:$D,B155,评分明细!$C:$C,C155,评分明细!$X:$X,"&gt;=80")))))</f>
        <v>0</v>
      </c>
    </row>
    <row r="156" spans="4:8">
      <c r="D156">
        <f>IF(A156="","",IF(AND(B156="",C156=""),COUNTIFS(评分明细!$E:$E,A156,评分明细!$X:$X,"&lt;&gt;"),IF(C156="",COUNTIFS(评分明细!$E:$E,A156,评分明细!$D:$D,B156,评分明细!$X:$X,"&lt;&gt;"),IF(B156="",COUNTIFS(评分明细!$E:$E,A156,评分明细!$C:$C,C156,评分明细!$X:$X,"&lt;&gt;"),COUNTIFS(评分明细!$E:$E,A156,评分明细!$D:$D,B156,评分明细!$C:$C,C156,评分明细!$X:$X,"&lt;&gt;")))))</f>
        <v>0</v>
      </c>
      <c r="E156">
        <f>IF(D156=0,"",IF(AND(B156="",C156=""),ROUND(AVERAGEIFS(评分明细!$X:$X,评分明细!$E:$E,A156,评分明细!$X:$X,"&lt;&gt;"),1),IF(C156="",ROUND(AVERAGEIFS(评分明细!$X:$X,评分明细!$E:$E,A156,评分明细!$D:$D,B156,评分明细!$X:$X,"&lt;&gt;"),1),IF(B156="",ROUND(AVERAGEIFS(评分明细!$X:$X,评分明细!$E:$E,A156,评分明细!$C:$C,C156,评分明细!$X:$X,"&lt;&gt;"),1),ROUND(AVERAGEIFS(评分明细!$X:$X,评分明细!$E:$E,A156,评分明细!$D:$D,B156,评分明细!$C:$C,C156,评分明细!$X:$X,"&lt;&gt;"),1)))))</f>
        <v>0</v>
      </c>
      <c r="F156">
        <f t="shared" si="3"/>
        <v>0</v>
      </c>
      <c r="G156">
        <f>IF(D156=0,"",IF(AND(B156="",C156=""),COUNTIFS(评分明细!$E:$E,A156,评分明细!$X:$X,"&gt;=60"),IF(C156="",COUNTIFS(评分明细!$E:$E,A156,评分明细!$D:$D,B156,评分明细!$X:$X,"&gt;=60"),IF(B156="",COUNTIFS(评分明细!$E:$E,A156,评分明细!$C:$C,C156,评分明细!$X:$X,"&gt;=60"),COUNTIFS(评分明细!$E:$E,A156,评分明细!$D:$D,B156,评分明细!$C:$C,C156,评分明细!$X:$X,"&gt;=60")))))</f>
        <v>0</v>
      </c>
      <c r="H156">
        <f>IF(D156=0,"",IF(AND(B156="",C156=""),COUNTIFS(评分明细!$E:$E,A156,评分明细!$X:$X,"&gt;=80"),IF(C156="",COUNTIFS(评分明细!$E:$E,A156,评分明细!$D:$D,B156,评分明细!$X:$X,"&gt;=80"),IF(B156="",COUNTIFS(评分明细!$E:$E,A156,评分明细!$C:$C,C156,评分明细!$X:$X,"&gt;=80"),COUNTIFS(评分明细!$E:$E,A156,评分明细!$D:$D,B156,评分明细!$C:$C,C156,评分明细!$X:$X,"&gt;=80")))))</f>
        <v>0</v>
      </c>
    </row>
    <row r="157" spans="4:8">
      <c r="D157">
        <f>IF(A157="","",IF(AND(B157="",C157=""),COUNTIFS(评分明细!$E:$E,A157,评分明细!$X:$X,"&lt;&gt;"),IF(C157="",COUNTIFS(评分明细!$E:$E,A157,评分明细!$D:$D,B157,评分明细!$X:$X,"&lt;&gt;"),IF(B157="",COUNTIFS(评分明细!$E:$E,A157,评分明细!$C:$C,C157,评分明细!$X:$X,"&lt;&gt;"),COUNTIFS(评分明细!$E:$E,A157,评分明细!$D:$D,B157,评分明细!$C:$C,C157,评分明细!$X:$X,"&lt;&gt;")))))</f>
        <v>0</v>
      </c>
      <c r="E157">
        <f>IF(D157=0,"",IF(AND(B157="",C157=""),ROUND(AVERAGEIFS(评分明细!$X:$X,评分明细!$E:$E,A157,评分明细!$X:$X,"&lt;&gt;"),1),IF(C157="",ROUND(AVERAGEIFS(评分明细!$X:$X,评分明细!$E:$E,A157,评分明细!$D:$D,B157,评分明细!$X:$X,"&lt;&gt;"),1),IF(B157="",ROUND(AVERAGEIFS(评分明细!$X:$X,评分明细!$E:$E,A157,评分明细!$C:$C,C157,评分明细!$X:$X,"&lt;&gt;"),1),ROUND(AVERAGEIFS(评分明细!$X:$X,评分明细!$E:$E,A157,评分明细!$D:$D,B157,评分明细!$C:$C,C157,评分明细!$X:$X,"&lt;&gt;"),1)))))</f>
        <v>0</v>
      </c>
      <c r="F157">
        <f t="shared" si="3"/>
        <v>0</v>
      </c>
      <c r="G157">
        <f>IF(D157=0,"",IF(AND(B157="",C157=""),COUNTIFS(评分明细!$E:$E,A157,评分明细!$X:$X,"&gt;=60"),IF(C157="",COUNTIFS(评分明细!$E:$E,A157,评分明细!$D:$D,B157,评分明细!$X:$X,"&gt;=60"),IF(B157="",COUNTIFS(评分明细!$E:$E,A157,评分明细!$C:$C,C157,评分明细!$X:$X,"&gt;=60"),COUNTIFS(评分明细!$E:$E,A157,评分明细!$D:$D,B157,评分明细!$C:$C,C157,评分明细!$X:$X,"&gt;=60")))))</f>
        <v>0</v>
      </c>
      <c r="H157">
        <f>IF(D157=0,"",IF(AND(B157="",C157=""),COUNTIFS(评分明细!$E:$E,A157,评分明细!$X:$X,"&gt;=80"),IF(C157="",COUNTIFS(评分明细!$E:$E,A157,评分明细!$D:$D,B157,评分明细!$X:$X,"&gt;=80"),IF(B157="",COUNTIFS(评分明细!$E:$E,A157,评分明细!$C:$C,C157,评分明细!$X:$X,"&gt;=80"),COUNTIFS(评分明细!$E:$E,A157,评分明细!$D:$D,B157,评分明细!$C:$C,C157,评分明细!$X:$X,"&gt;=80")))))</f>
        <v>0</v>
      </c>
    </row>
    <row r="158" spans="4:8">
      <c r="D158">
        <f>IF(A158="","",IF(AND(B158="",C158=""),COUNTIFS(评分明细!$E:$E,A158,评分明细!$X:$X,"&lt;&gt;"),IF(C158="",COUNTIFS(评分明细!$E:$E,A158,评分明细!$D:$D,B158,评分明细!$X:$X,"&lt;&gt;"),IF(B158="",COUNTIFS(评分明细!$E:$E,A158,评分明细!$C:$C,C158,评分明细!$X:$X,"&lt;&gt;"),COUNTIFS(评分明细!$E:$E,A158,评分明细!$D:$D,B158,评分明细!$C:$C,C158,评分明细!$X:$X,"&lt;&gt;")))))</f>
        <v>0</v>
      </c>
      <c r="E158">
        <f>IF(D158=0,"",IF(AND(B158="",C158=""),ROUND(AVERAGEIFS(评分明细!$X:$X,评分明细!$E:$E,A158,评分明细!$X:$X,"&lt;&gt;"),1),IF(C158="",ROUND(AVERAGEIFS(评分明细!$X:$X,评分明细!$E:$E,A158,评分明细!$D:$D,B158,评分明细!$X:$X,"&lt;&gt;"),1),IF(B158="",ROUND(AVERAGEIFS(评分明细!$X:$X,评分明细!$E:$E,A158,评分明细!$C:$C,C158,评分明细!$X:$X,"&lt;&gt;"),1),ROUND(AVERAGEIFS(评分明细!$X:$X,评分明细!$E:$E,A158,评分明细!$D:$D,B158,评分明细!$C:$C,C158,评分明细!$X:$X,"&lt;&gt;"),1)))))</f>
        <v>0</v>
      </c>
      <c r="F158">
        <f t="shared" si="3"/>
        <v>0</v>
      </c>
      <c r="G158">
        <f>IF(D158=0,"",IF(AND(B158="",C158=""),COUNTIFS(评分明细!$E:$E,A158,评分明细!$X:$X,"&gt;=60"),IF(C158="",COUNTIFS(评分明细!$E:$E,A158,评分明细!$D:$D,B158,评分明细!$X:$X,"&gt;=60"),IF(B158="",COUNTIFS(评分明细!$E:$E,A158,评分明细!$C:$C,C158,评分明细!$X:$X,"&gt;=60"),COUNTIFS(评分明细!$E:$E,A158,评分明细!$D:$D,B158,评分明细!$C:$C,C158,评分明细!$X:$X,"&gt;=60")))))</f>
        <v>0</v>
      </c>
      <c r="H158">
        <f>IF(D158=0,"",IF(AND(B158="",C158=""),COUNTIFS(评分明细!$E:$E,A158,评分明细!$X:$X,"&gt;=80"),IF(C158="",COUNTIFS(评分明细!$E:$E,A158,评分明细!$D:$D,B158,评分明细!$X:$X,"&gt;=80"),IF(B158="",COUNTIFS(评分明细!$E:$E,A158,评分明细!$C:$C,C158,评分明细!$X:$X,"&gt;=80"),COUNTIFS(评分明细!$E:$E,A158,评分明细!$D:$D,B158,评分明细!$C:$C,C158,评分明细!$X:$X,"&gt;=80")))))</f>
        <v>0</v>
      </c>
    </row>
    <row r="159" spans="4:8">
      <c r="D159">
        <f>IF(A159="","",IF(AND(B159="",C159=""),COUNTIFS(评分明细!$E:$E,A159,评分明细!$X:$X,"&lt;&gt;"),IF(C159="",COUNTIFS(评分明细!$E:$E,A159,评分明细!$D:$D,B159,评分明细!$X:$X,"&lt;&gt;"),IF(B159="",COUNTIFS(评分明细!$E:$E,A159,评分明细!$C:$C,C159,评分明细!$X:$X,"&lt;&gt;"),COUNTIFS(评分明细!$E:$E,A159,评分明细!$D:$D,B159,评分明细!$C:$C,C159,评分明细!$X:$X,"&lt;&gt;")))))</f>
        <v>0</v>
      </c>
      <c r="E159">
        <f>IF(D159=0,"",IF(AND(B159="",C159=""),ROUND(AVERAGEIFS(评分明细!$X:$X,评分明细!$E:$E,A159,评分明细!$X:$X,"&lt;&gt;"),1),IF(C159="",ROUND(AVERAGEIFS(评分明细!$X:$X,评分明细!$E:$E,A159,评分明细!$D:$D,B159,评分明细!$X:$X,"&lt;&gt;"),1),IF(B159="",ROUND(AVERAGEIFS(评分明细!$X:$X,评分明细!$E:$E,A159,评分明细!$C:$C,C159,评分明细!$X:$X,"&lt;&gt;"),1),ROUND(AVERAGEIFS(评分明细!$X:$X,评分明细!$E:$E,A159,评分明细!$D:$D,B159,评分明细!$C:$C,C159,评分明细!$X:$X,"&lt;&gt;"),1)))))</f>
        <v>0</v>
      </c>
      <c r="F159">
        <f t="shared" si="3"/>
        <v>0</v>
      </c>
      <c r="G159">
        <f>IF(D159=0,"",IF(AND(B159="",C159=""),COUNTIFS(评分明细!$E:$E,A159,评分明细!$X:$X,"&gt;=60"),IF(C159="",COUNTIFS(评分明细!$E:$E,A159,评分明细!$D:$D,B159,评分明细!$X:$X,"&gt;=60"),IF(B159="",COUNTIFS(评分明细!$E:$E,A159,评分明细!$C:$C,C159,评分明细!$X:$X,"&gt;=60"),COUNTIFS(评分明细!$E:$E,A159,评分明细!$D:$D,B159,评分明细!$C:$C,C159,评分明细!$X:$X,"&gt;=60")))))</f>
        <v>0</v>
      </c>
      <c r="H159">
        <f>IF(D159=0,"",IF(AND(B159="",C159=""),COUNTIFS(评分明细!$E:$E,A159,评分明细!$X:$X,"&gt;=80"),IF(C159="",COUNTIFS(评分明细!$E:$E,A159,评分明细!$D:$D,B159,评分明细!$X:$X,"&gt;=80"),IF(B159="",COUNTIFS(评分明细!$E:$E,A159,评分明细!$C:$C,C159,评分明细!$X:$X,"&gt;=80"),COUNTIFS(评分明细!$E:$E,A159,评分明细!$D:$D,B159,评分明细!$C:$C,C159,评分明细!$X:$X,"&gt;=80")))))</f>
        <v>0</v>
      </c>
    </row>
    <row r="160" spans="4:8">
      <c r="D160">
        <f>IF(A160="","",IF(AND(B160="",C160=""),COUNTIFS(评分明细!$E:$E,A160,评分明细!$X:$X,"&lt;&gt;"),IF(C160="",COUNTIFS(评分明细!$E:$E,A160,评分明细!$D:$D,B160,评分明细!$X:$X,"&lt;&gt;"),IF(B160="",COUNTIFS(评分明细!$E:$E,A160,评分明细!$C:$C,C160,评分明细!$X:$X,"&lt;&gt;"),COUNTIFS(评分明细!$E:$E,A160,评分明细!$D:$D,B160,评分明细!$C:$C,C160,评分明细!$X:$X,"&lt;&gt;")))))</f>
        <v>0</v>
      </c>
      <c r="E160">
        <f>IF(D160=0,"",IF(AND(B160="",C160=""),ROUND(AVERAGEIFS(评分明细!$X:$X,评分明细!$E:$E,A160,评分明细!$X:$X,"&lt;&gt;"),1),IF(C160="",ROUND(AVERAGEIFS(评分明细!$X:$X,评分明细!$E:$E,A160,评分明细!$D:$D,B160,评分明细!$X:$X,"&lt;&gt;"),1),IF(B160="",ROUND(AVERAGEIFS(评分明细!$X:$X,评分明细!$E:$E,A160,评分明细!$C:$C,C160,评分明细!$X:$X,"&lt;&gt;"),1),ROUND(AVERAGEIFS(评分明细!$X:$X,评分明细!$E:$E,A160,评分明细!$D:$D,B160,评分明细!$C:$C,C160,评分明细!$X:$X,"&lt;&gt;"),1)))))</f>
        <v>0</v>
      </c>
      <c r="F160">
        <f t="shared" si="3"/>
        <v>0</v>
      </c>
      <c r="G160">
        <f>IF(D160=0,"",IF(AND(B160="",C160=""),COUNTIFS(评分明细!$E:$E,A160,评分明细!$X:$X,"&gt;=60"),IF(C160="",COUNTIFS(评分明细!$E:$E,A160,评分明细!$D:$D,B160,评分明细!$X:$X,"&gt;=60"),IF(B160="",COUNTIFS(评分明细!$E:$E,A160,评分明细!$C:$C,C160,评分明细!$X:$X,"&gt;=60"),COUNTIFS(评分明细!$E:$E,A160,评分明细!$D:$D,B160,评分明细!$C:$C,C160,评分明细!$X:$X,"&gt;=60")))))</f>
        <v>0</v>
      </c>
      <c r="H160">
        <f>IF(D160=0,"",IF(AND(B160="",C160=""),COUNTIFS(评分明细!$E:$E,A160,评分明细!$X:$X,"&gt;=80"),IF(C160="",COUNTIFS(评分明细!$E:$E,A160,评分明细!$D:$D,B160,评分明细!$X:$X,"&gt;=80"),IF(B160="",COUNTIFS(评分明细!$E:$E,A160,评分明细!$C:$C,C160,评分明细!$X:$X,"&gt;=80"),COUNTIFS(评分明细!$E:$E,A160,评分明细!$D:$D,B160,评分明细!$C:$C,C160,评分明细!$X:$X,"&gt;=80")))))</f>
        <v>0</v>
      </c>
    </row>
    <row r="161" spans="4:8">
      <c r="D161">
        <f>IF(A161="","",IF(AND(B161="",C161=""),COUNTIFS(评分明细!$E:$E,A161,评分明细!$X:$X,"&lt;&gt;"),IF(C161="",COUNTIFS(评分明细!$E:$E,A161,评分明细!$D:$D,B161,评分明细!$X:$X,"&lt;&gt;"),IF(B161="",COUNTIFS(评分明细!$E:$E,A161,评分明细!$C:$C,C161,评分明细!$X:$X,"&lt;&gt;"),COUNTIFS(评分明细!$E:$E,A161,评分明细!$D:$D,B161,评分明细!$C:$C,C161,评分明细!$X:$X,"&lt;&gt;")))))</f>
        <v>0</v>
      </c>
      <c r="E161">
        <f>IF(D161=0,"",IF(AND(B161="",C161=""),ROUND(AVERAGEIFS(评分明细!$X:$X,评分明细!$E:$E,A161,评分明细!$X:$X,"&lt;&gt;"),1),IF(C161="",ROUND(AVERAGEIFS(评分明细!$X:$X,评分明细!$E:$E,A161,评分明细!$D:$D,B161,评分明细!$X:$X,"&lt;&gt;"),1),IF(B161="",ROUND(AVERAGEIFS(评分明细!$X:$X,评分明细!$E:$E,A161,评分明细!$C:$C,C161,评分明细!$X:$X,"&lt;&gt;"),1),ROUND(AVERAGEIFS(评分明细!$X:$X,评分明细!$E:$E,A161,评分明细!$D:$D,B161,评分明细!$C:$C,C161,评分明细!$X:$X,"&lt;&gt;"),1)))))</f>
        <v>0</v>
      </c>
      <c r="F161">
        <f t="shared" si="3"/>
        <v>0</v>
      </c>
      <c r="G161">
        <f>IF(D161=0,"",IF(AND(B161="",C161=""),COUNTIFS(评分明细!$E:$E,A161,评分明细!$X:$X,"&gt;=60"),IF(C161="",COUNTIFS(评分明细!$E:$E,A161,评分明细!$D:$D,B161,评分明细!$X:$X,"&gt;=60"),IF(B161="",COUNTIFS(评分明细!$E:$E,A161,评分明细!$C:$C,C161,评分明细!$X:$X,"&gt;=60"),COUNTIFS(评分明细!$E:$E,A161,评分明细!$D:$D,B161,评分明细!$C:$C,C161,评分明细!$X:$X,"&gt;=60")))))</f>
        <v>0</v>
      </c>
      <c r="H161">
        <f>IF(D161=0,"",IF(AND(B161="",C161=""),COUNTIFS(评分明细!$E:$E,A161,评分明细!$X:$X,"&gt;=80"),IF(C161="",COUNTIFS(评分明细!$E:$E,A161,评分明细!$D:$D,B161,评分明细!$X:$X,"&gt;=80"),IF(B161="",COUNTIFS(评分明细!$E:$E,A161,评分明细!$C:$C,C161,评分明细!$X:$X,"&gt;=80"),COUNTIFS(评分明细!$E:$E,A161,评分明细!$D:$D,B161,评分明细!$C:$C,C161,评分明细!$X:$X,"&gt;=80")))))</f>
        <v>0</v>
      </c>
    </row>
    <row r="162" spans="4:8">
      <c r="D162">
        <f>IF(A162="","",IF(AND(B162="",C162=""),COUNTIFS(评分明细!$E:$E,A162,评分明细!$X:$X,"&lt;&gt;"),IF(C162="",COUNTIFS(评分明细!$E:$E,A162,评分明细!$D:$D,B162,评分明细!$X:$X,"&lt;&gt;"),IF(B162="",COUNTIFS(评分明细!$E:$E,A162,评分明细!$C:$C,C162,评分明细!$X:$X,"&lt;&gt;"),COUNTIFS(评分明细!$E:$E,A162,评分明细!$D:$D,B162,评分明细!$C:$C,C162,评分明细!$X:$X,"&lt;&gt;")))))</f>
        <v>0</v>
      </c>
      <c r="E162">
        <f>IF(D162=0,"",IF(AND(B162="",C162=""),ROUND(AVERAGEIFS(评分明细!$X:$X,评分明细!$E:$E,A162,评分明细!$X:$X,"&lt;&gt;"),1),IF(C162="",ROUND(AVERAGEIFS(评分明细!$X:$X,评分明细!$E:$E,A162,评分明细!$D:$D,B162,评分明细!$X:$X,"&lt;&gt;"),1),IF(B162="",ROUND(AVERAGEIFS(评分明细!$X:$X,评分明细!$E:$E,A162,评分明细!$C:$C,C162,评分明细!$X:$X,"&lt;&gt;"),1),ROUND(AVERAGEIFS(评分明细!$X:$X,评分明细!$E:$E,A162,评分明细!$D:$D,B162,评分明细!$C:$C,C162,评分明细!$X:$X,"&lt;&gt;"),1)))))</f>
        <v>0</v>
      </c>
      <c r="F162">
        <f t="shared" si="3"/>
        <v>0</v>
      </c>
      <c r="G162">
        <f>IF(D162=0,"",IF(AND(B162="",C162=""),COUNTIFS(评分明细!$E:$E,A162,评分明细!$X:$X,"&gt;=60"),IF(C162="",COUNTIFS(评分明细!$E:$E,A162,评分明细!$D:$D,B162,评分明细!$X:$X,"&gt;=60"),IF(B162="",COUNTIFS(评分明细!$E:$E,A162,评分明细!$C:$C,C162,评分明细!$X:$X,"&gt;=60"),COUNTIFS(评分明细!$E:$E,A162,评分明细!$D:$D,B162,评分明细!$C:$C,C162,评分明细!$X:$X,"&gt;=60")))))</f>
        <v>0</v>
      </c>
      <c r="H162">
        <f>IF(D162=0,"",IF(AND(B162="",C162=""),COUNTIFS(评分明细!$E:$E,A162,评分明细!$X:$X,"&gt;=80"),IF(C162="",COUNTIFS(评分明细!$E:$E,A162,评分明细!$D:$D,B162,评分明细!$X:$X,"&gt;=80"),IF(B162="",COUNTIFS(评分明细!$E:$E,A162,评分明细!$C:$C,C162,评分明细!$X:$X,"&gt;=80"),COUNTIFS(评分明细!$E:$E,A162,评分明细!$D:$D,B162,评分明细!$C:$C,C162,评分明细!$X:$X,"&gt;=80")))))</f>
        <v>0</v>
      </c>
    </row>
    <row r="163" spans="4:8">
      <c r="D163">
        <f>IF(A163="","",IF(AND(B163="",C163=""),COUNTIFS(评分明细!$E:$E,A163,评分明细!$X:$X,"&lt;&gt;"),IF(C163="",COUNTIFS(评分明细!$E:$E,A163,评分明细!$D:$D,B163,评分明细!$X:$X,"&lt;&gt;"),IF(B163="",COUNTIFS(评分明细!$E:$E,A163,评分明细!$C:$C,C163,评分明细!$X:$X,"&lt;&gt;"),COUNTIFS(评分明细!$E:$E,A163,评分明细!$D:$D,B163,评分明细!$C:$C,C163,评分明细!$X:$X,"&lt;&gt;")))))</f>
        <v>0</v>
      </c>
      <c r="E163">
        <f>IF(D163=0,"",IF(AND(B163="",C163=""),ROUND(AVERAGEIFS(评分明细!$X:$X,评分明细!$E:$E,A163,评分明细!$X:$X,"&lt;&gt;"),1),IF(C163="",ROUND(AVERAGEIFS(评分明细!$X:$X,评分明细!$E:$E,A163,评分明细!$D:$D,B163,评分明细!$X:$X,"&lt;&gt;"),1),IF(B163="",ROUND(AVERAGEIFS(评分明细!$X:$X,评分明细!$E:$E,A163,评分明细!$C:$C,C163,评分明细!$X:$X,"&lt;&gt;"),1),ROUND(AVERAGEIFS(评分明细!$X:$X,评分明细!$E:$E,A163,评分明细!$D:$D,B163,评分明细!$C:$C,C163,评分明细!$X:$X,"&lt;&gt;"),1)))))</f>
        <v>0</v>
      </c>
      <c r="F163">
        <f t="shared" si="3"/>
        <v>0</v>
      </c>
      <c r="G163">
        <f>IF(D163=0,"",IF(AND(B163="",C163=""),COUNTIFS(评分明细!$E:$E,A163,评分明细!$X:$X,"&gt;=60"),IF(C163="",COUNTIFS(评分明细!$E:$E,A163,评分明细!$D:$D,B163,评分明细!$X:$X,"&gt;=60"),IF(B163="",COUNTIFS(评分明细!$E:$E,A163,评分明细!$C:$C,C163,评分明细!$X:$X,"&gt;=60"),COUNTIFS(评分明细!$E:$E,A163,评分明细!$D:$D,B163,评分明细!$C:$C,C163,评分明细!$X:$X,"&gt;=60")))))</f>
        <v>0</v>
      </c>
      <c r="H163">
        <f>IF(D163=0,"",IF(AND(B163="",C163=""),COUNTIFS(评分明细!$E:$E,A163,评分明细!$X:$X,"&gt;=80"),IF(C163="",COUNTIFS(评分明细!$E:$E,A163,评分明细!$D:$D,B163,评分明细!$X:$X,"&gt;=80"),IF(B163="",COUNTIFS(评分明细!$E:$E,A163,评分明细!$C:$C,C163,评分明细!$X:$X,"&gt;=80"),COUNTIFS(评分明细!$E:$E,A163,评分明细!$D:$D,B163,评分明细!$C:$C,C163,评分明细!$X:$X,"&gt;=80")))))</f>
        <v>0</v>
      </c>
    </row>
    <row r="164" spans="4:8">
      <c r="D164">
        <f>IF(A164="","",IF(AND(B164="",C164=""),COUNTIFS(评分明细!$E:$E,A164,评分明细!$X:$X,"&lt;&gt;"),IF(C164="",COUNTIFS(评分明细!$E:$E,A164,评分明细!$D:$D,B164,评分明细!$X:$X,"&lt;&gt;"),IF(B164="",COUNTIFS(评分明细!$E:$E,A164,评分明细!$C:$C,C164,评分明细!$X:$X,"&lt;&gt;"),COUNTIFS(评分明细!$E:$E,A164,评分明细!$D:$D,B164,评分明细!$C:$C,C164,评分明细!$X:$X,"&lt;&gt;")))))</f>
        <v>0</v>
      </c>
      <c r="E164">
        <f>IF(D164=0,"",IF(AND(B164="",C164=""),ROUND(AVERAGEIFS(评分明细!$X:$X,评分明细!$E:$E,A164,评分明细!$X:$X,"&lt;&gt;"),1),IF(C164="",ROUND(AVERAGEIFS(评分明细!$X:$X,评分明细!$E:$E,A164,评分明细!$D:$D,B164,评分明细!$X:$X,"&lt;&gt;"),1),IF(B164="",ROUND(AVERAGEIFS(评分明细!$X:$X,评分明细!$E:$E,A164,评分明细!$C:$C,C164,评分明细!$X:$X,"&lt;&gt;"),1),ROUND(AVERAGEIFS(评分明细!$X:$X,评分明细!$E:$E,A164,评分明细!$D:$D,B164,评分明细!$C:$C,C164,评分明细!$X:$X,"&lt;&gt;"),1)))))</f>
        <v>0</v>
      </c>
      <c r="F164">
        <f t="shared" si="3"/>
        <v>0</v>
      </c>
      <c r="G164">
        <f>IF(D164=0,"",IF(AND(B164="",C164=""),COUNTIFS(评分明细!$E:$E,A164,评分明细!$X:$X,"&gt;=60"),IF(C164="",COUNTIFS(评分明细!$E:$E,A164,评分明细!$D:$D,B164,评分明细!$X:$X,"&gt;=60"),IF(B164="",COUNTIFS(评分明细!$E:$E,A164,评分明细!$C:$C,C164,评分明细!$X:$X,"&gt;=60"),COUNTIFS(评分明细!$E:$E,A164,评分明细!$D:$D,B164,评分明细!$C:$C,C164,评分明细!$X:$X,"&gt;=60")))))</f>
        <v>0</v>
      </c>
      <c r="H164">
        <f>IF(D164=0,"",IF(AND(B164="",C164=""),COUNTIFS(评分明细!$E:$E,A164,评分明细!$X:$X,"&gt;=80"),IF(C164="",COUNTIFS(评分明细!$E:$E,A164,评分明细!$D:$D,B164,评分明细!$X:$X,"&gt;=80"),IF(B164="",COUNTIFS(评分明细!$E:$E,A164,评分明细!$C:$C,C164,评分明细!$X:$X,"&gt;=80"),COUNTIFS(评分明细!$E:$E,A164,评分明细!$D:$D,B164,评分明细!$C:$C,C164,评分明细!$X:$X,"&gt;=80")))))</f>
        <v>0</v>
      </c>
    </row>
    <row r="165" spans="4:8">
      <c r="D165">
        <f>IF(A165="","",IF(AND(B165="",C165=""),COUNTIFS(评分明细!$E:$E,A165,评分明细!$X:$X,"&lt;&gt;"),IF(C165="",COUNTIFS(评分明细!$E:$E,A165,评分明细!$D:$D,B165,评分明细!$X:$X,"&lt;&gt;"),IF(B165="",COUNTIFS(评分明细!$E:$E,A165,评分明细!$C:$C,C165,评分明细!$X:$X,"&lt;&gt;"),COUNTIFS(评分明细!$E:$E,A165,评分明细!$D:$D,B165,评分明细!$C:$C,C165,评分明细!$X:$X,"&lt;&gt;")))))</f>
        <v>0</v>
      </c>
      <c r="E165">
        <f>IF(D165=0,"",IF(AND(B165="",C165=""),ROUND(AVERAGEIFS(评分明细!$X:$X,评分明细!$E:$E,A165,评分明细!$X:$X,"&lt;&gt;"),1),IF(C165="",ROUND(AVERAGEIFS(评分明细!$X:$X,评分明细!$E:$E,A165,评分明细!$D:$D,B165,评分明细!$X:$X,"&lt;&gt;"),1),IF(B165="",ROUND(AVERAGEIFS(评分明细!$X:$X,评分明细!$E:$E,A165,评分明细!$C:$C,C165,评分明细!$X:$X,"&lt;&gt;"),1),ROUND(AVERAGEIFS(评分明细!$X:$X,评分明细!$E:$E,A165,评分明细!$D:$D,B165,评分明细!$C:$C,C165,评分明细!$X:$X,"&lt;&gt;"),1)))))</f>
        <v>0</v>
      </c>
      <c r="F165">
        <f t="shared" si="3"/>
        <v>0</v>
      </c>
      <c r="G165">
        <f>IF(D165=0,"",IF(AND(B165="",C165=""),COUNTIFS(评分明细!$E:$E,A165,评分明细!$X:$X,"&gt;=60"),IF(C165="",COUNTIFS(评分明细!$E:$E,A165,评分明细!$D:$D,B165,评分明细!$X:$X,"&gt;=60"),IF(B165="",COUNTIFS(评分明细!$E:$E,A165,评分明细!$C:$C,C165,评分明细!$X:$X,"&gt;=60"),COUNTIFS(评分明细!$E:$E,A165,评分明细!$D:$D,B165,评分明细!$C:$C,C165,评分明细!$X:$X,"&gt;=60")))))</f>
        <v>0</v>
      </c>
      <c r="H165">
        <f>IF(D165=0,"",IF(AND(B165="",C165=""),COUNTIFS(评分明细!$E:$E,A165,评分明细!$X:$X,"&gt;=80"),IF(C165="",COUNTIFS(评分明细!$E:$E,A165,评分明细!$D:$D,B165,评分明细!$X:$X,"&gt;=80"),IF(B165="",COUNTIFS(评分明细!$E:$E,A165,评分明细!$C:$C,C165,评分明细!$X:$X,"&gt;=80"),COUNTIFS(评分明细!$E:$E,A165,评分明细!$D:$D,B165,评分明细!$C:$C,C165,评分明细!$X:$X,"&gt;=80")))))</f>
        <v>0</v>
      </c>
    </row>
    <row r="166" spans="4:8">
      <c r="D166">
        <f>IF(A166="","",IF(AND(B166="",C166=""),COUNTIFS(评分明细!$E:$E,A166,评分明细!$X:$X,"&lt;&gt;"),IF(C166="",COUNTIFS(评分明细!$E:$E,A166,评分明细!$D:$D,B166,评分明细!$X:$X,"&lt;&gt;"),IF(B166="",COUNTIFS(评分明细!$E:$E,A166,评分明细!$C:$C,C166,评分明细!$X:$X,"&lt;&gt;"),COUNTIFS(评分明细!$E:$E,A166,评分明细!$D:$D,B166,评分明细!$C:$C,C166,评分明细!$X:$X,"&lt;&gt;")))))</f>
        <v>0</v>
      </c>
      <c r="E166">
        <f>IF(D166=0,"",IF(AND(B166="",C166=""),ROUND(AVERAGEIFS(评分明细!$X:$X,评分明细!$E:$E,A166,评分明细!$X:$X,"&lt;&gt;"),1),IF(C166="",ROUND(AVERAGEIFS(评分明细!$X:$X,评分明细!$E:$E,A166,评分明细!$D:$D,B166,评分明细!$X:$X,"&lt;&gt;"),1),IF(B166="",ROUND(AVERAGEIFS(评分明细!$X:$X,评分明细!$E:$E,A166,评分明细!$C:$C,C166,评分明细!$X:$X,"&lt;&gt;"),1),ROUND(AVERAGEIFS(评分明细!$X:$X,评分明细!$E:$E,A166,评分明细!$D:$D,B166,评分明细!$C:$C,C166,评分明细!$X:$X,"&lt;&gt;"),1)))))</f>
        <v>0</v>
      </c>
      <c r="F166">
        <f t="shared" si="3"/>
        <v>0</v>
      </c>
      <c r="G166">
        <f>IF(D166=0,"",IF(AND(B166="",C166=""),COUNTIFS(评分明细!$E:$E,A166,评分明细!$X:$X,"&gt;=60"),IF(C166="",COUNTIFS(评分明细!$E:$E,A166,评分明细!$D:$D,B166,评分明细!$X:$X,"&gt;=60"),IF(B166="",COUNTIFS(评分明细!$E:$E,A166,评分明细!$C:$C,C166,评分明细!$X:$X,"&gt;=60"),COUNTIFS(评分明细!$E:$E,A166,评分明细!$D:$D,B166,评分明细!$C:$C,C166,评分明细!$X:$X,"&gt;=60")))))</f>
        <v>0</v>
      </c>
      <c r="H166">
        <f>IF(D166=0,"",IF(AND(B166="",C166=""),COUNTIFS(评分明细!$E:$E,A166,评分明细!$X:$X,"&gt;=80"),IF(C166="",COUNTIFS(评分明细!$E:$E,A166,评分明细!$D:$D,B166,评分明细!$X:$X,"&gt;=80"),IF(B166="",COUNTIFS(评分明细!$E:$E,A166,评分明细!$C:$C,C166,评分明细!$X:$X,"&gt;=80"),COUNTIFS(评分明细!$E:$E,A166,评分明细!$D:$D,B166,评分明细!$C:$C,C166,评分明细!$X:$X,"&gt;=80")))))</f>
        <v>0</v>
      </c>
    </row>
    <row r="167" spans="4:8">
      <c r="D167">
        <f>IF(A167="","",IF(AND(B167="",C167=""),COUNTIFS(评分明细!$E:$E,A167,评分明细!$X:$X,"&lt;&gt;"),IF(C167="",COUNTIFS(评分明细!$E:$E,A167,评分明细!$D:$D,B167,评分明细!$X:$X,"&lt;&gt;"),IF(B167="",COUNTIFS(评分明细!$E:$E,A167,评分明细!$C:$C,C167,评分明细!$X:$X,"&lt;&gt;"),COUNTIFS(评分明细!$E:$E,A167,评分明细!$D:$D,B167,评分明细!$C:$C,C167,评分明细!$X:$X,"&lt;&gt;")))))</f>
        <v>0</v>
      </c>
      <c r="E167">
        <f>IF(D167=0,"",IF(AND(B167="",C167=""),ROUND(AVERAGEIFS(评分明细!$X:$X,评分明细!$E:$E,A167,评分明细!$X:$X,"&lt;&gt;"),1),IF(C167="",ROUND(AVERAGEIFS(评分明细!$X:$X,评分明细!$E:$E,A167,评分明细!$D:$D,B167,评分明细!$X:$X,"&lt;&gt;"),1),IF(B167="",ROUND(AVERAGEIFS(评分明细!$X:$X,评分明细!$E:$E,A167,评分明细!$C:$C,C167,评分明细!$X:$X,"&lt;&gt;"),1),ROUND(AVERAGEIFS(评分明细!$X:$X,评分明细!$E:$E,A167,评分明细!$D:$D,B167,评分明细!$C:$C,C167,评分明细!$X:$X,"&lt;&gt;"),1)))))</f>
        <v>0</v>
      </c>
      <c r="F167">
        <f t="shared" si="3"/>
        <v>0</v>
      </c>
      <c r="G167">
        <f>IF(D167=0,"",IF(AND(B167="",C167=""),COUNTIFS(评分明细!$E:$E,A167,评分明细!$X:$X,"&gt;=60"),IF(C167="",COUNTIFS(评分明细!$E:$E,A167,评分明细!$D:$D,B167,评分明细!$X:$X,"&gt;=60"),IF(B167="",COUNTIFS(评分明细!$E:$E,A167,评分明细!$C:$C,C167,评分明细!$X:$X,"&gt;=60"),COUNTIFS(评分明细!$E:$E,A167,评分明细!$D:$D,B167,评分明细!$C:$C,C167,评分明细!$X:$X,"&gt;=60")))))</f>
        <v>0</v>
      </c>
      <c r="H167">
        <f>IF(D167=0,"",IF(AND(B167="",C167=""),COUNTIFS(评分明细!$E:$E,A167,评分明细!$X:$X,"&gt;=80"),IF(C167="",COUNTIFS(评分明细!$E:$E,A167,评分明细!$D:$D,B167,评分明细!$X:$X,"&gt;=80"),IF(B167="",COUNTIFS(评分明细!$E:$E,A167,评分明细!$C:$C,C167,评分明细!$X:$X,"&gt;=80"),COUNTIFS(评分明细!$E:$E,A167,评分明细!$D:$D,B167,评分明细!$C:$C,C167,评分明细!$X:$X,"&gt;=80")))))</f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使用说明</vt:lpstr>
      <vt:lpstr>场景库</vt:lpstr>
      <vt:lpstr>评分明细</vt:lpstr>
      <vt:lpstr>汇总看板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tErminat0rt</cp:lastModifiedBy>
  <dcterms:created xsi:type="dcterms:W3CDTF">2026-02-23T22:09:00Z</dcterms:created>
  <dcterms:modified xsi:type="dcterms:W3CDTF">2026-02-23T22:16:06Z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0917E78EC0C0AF1A26619C69F3F9FF02_43</vt:lpwstr>
  </property>
  <property fmtid="{D5CDD505-2E9C-101B-9397-08002B2CF9AE}" pid="3" name="KSOProductBuildVer">
    <vt:lpwstr>2052-6.14.0.8924</vt:lpwstr>
  </property>
</Properties>
</file>